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imgs\"/>
    </mc:Choice>
  </mc:AlternateContent>
  <xr:revisionPtr revIDLastSave="0" documentId="13_ncr:1_{356A2BCE-0EAE-46D0-9738-7B7DE1D1ECCE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POS" sheetId="1" r:id="rId1"/>
    <sheet name="Sales" sheetId="2" r:id="rId2"/>
    <sheet name="Stock" sheetId="3" r:id="rId3"/>
    <sheet name="Product Details" sheetId="5" r:id="rId4"/>
    <sheet name="Sheet4" sheetId="4" r:id="rId5"/>
  </sheets>
  <externalReferences>
    <externalReference r:id="rId6"/>
  </externalReferences>
  <definedNames>
    <definedName name="footer_range">POS!$S$4:$T$8</definedName>
    <definedName name="item_desc" comment="=OFFSET(Stock!$A$2,0,0, COUNTA(Stock+Stock!!$A$2:$A$9999),1)">OFFSET(Stock!$C$2,0,0, COUNTA(Stock!$C$2:$C$9988),1)</definedName>
    <definedName name="item_id" comment="=OFFSET(Stock!$A$2,0,0, COUNTA(Stock+Stock!!$A$2:$A$9999),1)">OFFSET(Stock!$A$2,0,0, COUNTA(Stock!$A$2:$A$9988), 1)</definedName>
    <definedName name="item_name" comment="=OFFSET(Stock!$A$2,0,0, COUNTA(Stock+Stock!!$A$2:$A$9999),1)">OFFSET(Stock!$B$2,0,0, COUNTA(Stock!$B$2:$B$9988),1)</definedName>
    <definedName name="ItemDesc">OFFSET([1]Items!$C$2,0,0, COUNTA([1]Items!$C$2:$C$9999), 1)</definedName>
    <definedName name="ItemID">OFFSET([1]Items!$A$2,0,0, COUNTA([1]Items!$A$2:$A$9999),1)</definedName>
    <definedName name="ItemName">OFFSET([1]Items!$B$2, 0,0, COUNTA([1]Items!$B$2:$B$9999),1)</definedName>
    <definedName name="_xlnm.Print_Area" localSheetId="0">POS!$L$1:$Q$22</definedName>
    <definedName name="_xlnm.Print_Area">POS!$L$1:$Q$22</definedName>
    <definedName name="rec_number" comment="=OFFSET(Sales!$A$2, COUNTA(Sales!$A$2:$A$9987)-1, 0, 1, 1)">OFFSET(Sales!$A$2, COUNTA(Sales!$A$2:$A$9998)-1,0,1,1)</definedName>
    <definedName name="RecNumber">OFFSET([1]Sales!$A$2, COUNTA([1]Sales!$A$2:$A$9987)-1, 0, 1, 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3" i="5" l="1"/>
  <c r="K94" i="5"/>
  <c r="K95" i="5"/>
  <c r="K96" i="5"/>
  <c r="K97" i="5"/>
  <c r="K98" i="5"/>
  <c r="K99" i="5"/>
  <c r="K100" i="5"/>
  <c r="K101" i="5"/>
  <c r="K102" i="5"/>
  <c r="K103" i="5"/>
  <c r="K104" i="5"/>
  <c r="K105" i="5"/>
  <c r="K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92" i="5"/>
  <c r="J73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92" i="5"/>
  <c r="E109" i="5"/>
  <c r="E108" i="5"/>
  <c r="E107" i="5"/>
  <c r="E85" i="5"/>
  <c r="E80" i="5"/>
  <c r="E106" i="5"/>
  <c r="E93" i="5"/>
  <c r="E94" i="5"/>
  <c r="E95" i="5"/>
  <c r="E96" i="5"/>
  <c r="E97" i="5"/>
  <c r="E98" i="5"/>
  <c r="E99" i="5"/>
  <c r="E100" i="5"/>
  <c r="E101" i="5"/>
  <c r="E102" i="5"/>
  <c r="E103" i="5"/>
  <c r="E104" i="5"/>
  <c r="E105" i="5"/>
  <c r="E92" i="5"/>
  <c r="C106" i="5"/>
  <c r="P9" i="1"/>
  <c r="G60" i="5"/>
  <c r="G67" i="5"/>
  <c r="C84" i="5"/>
  <c r="C53" i="5"/>
  <c r="K85" i="5"/>
  <c r="K84" i="5"/>
  <c r="K74" i="5"/>
  <c r="K75" i="5"/>
  <c r="K76" i="5"/>
  <c r="K77" i="5"/>
  <c r="K78" i="5"/>
  <c r="K79" i="5"/>
  <c r="K80" i="5"/>
  <c r="K81" i="5"/>
  <c r="K82" i="5"/>
  <c r="K83" i="5"/>
  <c r="K73" i="5"/>
  <c r="J74" i="5"/>
  <c r="J75" i="5"/>
  <c r="J76" i="5"/>
  <c r="J77" i="5"/>
  <c r="J78" i="5"/>
  <c r="J79" i="5"/>
  <c r="J80" i="5"/>
  <c r="J81" i="5"/>
  <c r="J82" i="5"/>
  <c r="J83" i="5"/>
  <c r="H74" i="5"/>
  <c r="H75" i="5"/>
  <c r="H76" i="5"/>
  <c r="H77" i="5"/>
  <c r="H78" i="5"/>
  <c r="H79" i="5"/>
  <c r="H80" i="5"/>
  <c r="H81" i="5"/>
  <c r="H82" i="5"/>
  <c r="H83" i="5"/>
  <c r="H73" i="5"/>
  <c r="G74" i="5"/>
  <c r="G75" i="5"/>
  <c r="G76" i="5"/>
  <c r="G77" i="5"/>
  <c r="G78" i="5"/>
  <c r="G79" i="5"/>
  <c r="G80" i="5"/>
  <c r="G81" i="5"/>
  <c r="G82" i="5"/>
  <c r="G83" i="5"/>
  <c r="G73" i="5"/>
  <c r="E87" i="5"/>
  <c r="E86" i="5"/>
  <c r="E74" i="5"/>
  <c r="E75" i="5"/>
  <c r="E76" i="5"/>
  <c r="E77" i="5"/>
  <c r="E78" i="5"/>
  <c r="E79" i="5"/>
  <c r="E81" i="5"/>
  <c r="E82" i="5"/>
  <c r="E83" i="5"/>
  <c r="E73" i="5"/>
  <c r="E68" i="5"/>
  <c r="G65" i="5" s="1"/>
  <c r="E65" i="5"/>
  <c r="E66" i="5" s="1"/>
  <c r="E64" i="5"/>
  <c r="K60" i="5"/>
  <c r="H60" i="5"/>
  <c r="E60" i="5"/>
  <c r="E55" i="5"/>
  <c r="G44" i="5" s="1"/>
  <c r="E52" i="5"/>
  <c r="E51" i="5"/>
  <c r="E50" i="5"/>
  <c r="E45" i="5"/>
  <c r="E46" i="5"/>
  <c r="E47" i="5"/>
  <c r="E48" i="5"/>
  <c r="E49" i="5"/>
  <c r="E44" i="5"/>
  <c r="E43" i="5"/>
  <c r="D4" i="1"/>
  <c r="E84" i="5" l="1"/>
  <c r="J65" i="5"/>
  <c r="H65" i="5"/>
  <c r="K65" i="5" s="1"/>
  <c r="E69" i="5"/>
  <c r="G64" i="5"/>
  <c r="E53" i="5"/>
  <c r="E56" i="5" s="1"/>
  <c r="H44" i="5"/>
  <c r="K44" i="5" s="1"/>
  <c r="J44" i="5"/>
  <c r="G43" i="5"/>
  <c r="G52" i="5"/>
  <c r="G51" i="5"/>
  <c r="G50" i="5"/>
  <c r="G49" i="5"/>
  <c r="G48" i="5"/>
  <c r="G47" i="5"/>
  <c r="G46" i="5"/>
  <c r="G45" i="5"/>
  <c r="E28" i="5"/>
  <c r="G6" i="5" s="1"/>
  <c r="H6" i="5" s="1"/>
  <c r="E38" i="5"/>
  <c r="G34" i="5" s="1"/>
  <c r="H27" i="5"/>
  <c r="E36" i="5"/>
  <c r="E39" i="5" s="1"/>
  <c r="E26" i="5"/>
  <c r="E29" i="5" s="1"/>
  <c r="H28" i="5" s="1"/>
  <c r="J64" i="5" l="1"/>
  <c r="H64" i="5"/>
  <c r="K64" i="5" s="1"/>
  <c r="H43" i="5"/>
  <c r="K43" i="5" s="1"/>
  <c r="J43" i="5"/>
  <c r="J46" i="5"/>
  <c r="H46" i="5"/>
  <c r="K46" i="5" s="1"/>
  <c r="J50" i="5"/>
  <c r="H50" i="5"/>
  <c r="K50" i="5" s="1"/>
  <c r="J52" i="5"/>
  <c r="H52" i="5"/>
  <c r="K52" i="5" s="1"/>
  <c r="J47" i="5"/>
  <c r="H47" i="5"/>
  <c r="K47" i="5" s="1"/>
  <c r="J49" i="5"/>
  <c r="H49" i="5"/>
  <c r="K49" i="5" s="1"/>
  <c r="J51" i="5"/>
  <c r="H51" i="5"/>
  <c r="K51" i="5" s="1"/>
  <c r="J45" i="5"/>
  <c r="H45" i="5"/>
  <c r="K45" i="5" s="1"/>
  <c r="J48" i="5"/>
  <c r="H48" i="5"/>
  <c r="K48" i="5" s="1"/>
  <c r="H34" i="5"/>
  <c r="J34" i="5"/>
  <c r="K34" i="5" s="1"/>
  <c r="G33" i="5"/>
  <c r="J33" i="5" s="1"/>
  <c r="G35" i="5"/>
  <c r="G5" i="5"/>
  <c r="J6" i="5"/>
  <c r="M6" i="5" s="1"/>
  <c r="G17" i="5"/>
  <c r="G4" i="5"/>
  <c r="G14" i="5"/>
  <c r="G25" i="5"/>
  <c r="G11" i="5"/>
  <c r="G22" i="5"/>
  <c r="G9" i="5"/>
  <c r="G3" i="5"/>
  <c r="G12" i="5"/>
  <c r="G10" i="5"/>
  <c r="G20" i="5"/>
  <c r="G8" i="5"/>
  <c r="G16" i="5"/>
  <c r="G15" i="5"/>
  <c r="G13" i="5"/>
  <c r="G24" i="5"/>
  <c r="G23" i="5"/>
  <c r="G19" i="5"/>
  <c r="G7" i="5"/>
  <c r="H7" i="5" s="1"/>
  <c r="G21" i="5"/>
  <c r="G18" i="5"/>
  <c r="B7" i="1"/>
  <c r="E10" i="4"/>
  <c r="B10" i="4"/>
  <c r="E9" i="4"/>
  <c r="B9" i="4"/>
  <c r="B8" i="4"/>
  <c r="E7" i="4"/>
  <c r="P7" i="1"/>
  <c r="B5" i="1"/>
  <c r="K6" i="5" l="1"/>
  <c r="K53" i="5"/>
  <c r="K54" i="5" s="1"/>
  <c r="N6" i="5"/>
  <c r="H35" i="5"/>
  <c r="J35" i="5"/>
  <c r="K35" i="5" s="1"/>
  <c r="H33" i="5"/>
  <c r="K33" i="5"/>
  <c r="H18" i="5"/>
  <c r="J18" i="5"/>
  <c r="H3" i="5"/>
  <c r="J3" i="5"/>
  <c r="K3" i="5" s="1"/>
  <c r="H9" i="5"/>
  <c r="J9" i="5"/>
  <c r="H21" i="5"/>
  <c r="J21" i="5"/>
  <c r="K21" i="5" s="1"/>
  <c r="H22" i="5"/>
  <c r="J22" i="5"/>
  <c r="K22" i="5" s="1"/>
  <c r="H11" i="5"/>
  <c r="J11" i="5"/>
  <c r="M11" i="5" s="1"/>
  <c r="J7" i="5"/>
  <c r="K7" i="5" s="1"/>
  <c r="H19" i="5"/>
  <c r="J19" i="5"/>
  <c r="M19" i="5" s="1"/>
  <c r="H23" i="5"/>
  <c r="J23" i="5"/>
  <c r="K23" i="5" s="1"/>
  <c r="H24" i="5"/>
  <c r="J24" i="5"/>
  <c r="M24" i="5" s="1"/>
  <c r="H25" i="5"/>
  <c r="J25" i="5"/>
  <c r="K25" i="5" s="1"/>
  <c r="H13" i="5"/>
  <c r="J13" i="5"/>
  <c r="M13" i="5" s="1"/>
  <c r="H14" i="5"/>
  <c r="J14" i="5"/>
  <c r="M14" i="5" s="1"/>
  <c r="H4" i="5"/>
  <c r="J4" i="5"/>
  <c r="M4" i="5" s="1"/>
  <c r="H10" i="5"/>
  <c r="J10" i="5"/>
  <c r="M10" i="5" s="1"/>
  <c r="H12" i="5"/>
  <c r="J12" i="5"/>
  <c r="K12" i="5" s="1"/>
  <c r="H17" i="5"/>
  <c r="J17" i="5"/>
  <c r="K17" i="5" s="1"/>
  <c r="H16" i="5"/>
  <c r="J16" i="5"/>
  <c r="K16" i="5" s="1"/>
  <c r="H8" i="5"/>
  <c r="J8" i="5"/>
  <c r="M8" i="5" s="1"/>
  <c r="H15" i="5"/>
  <c r="J15" i="5"/>
  <c r="K15" i="5" s="1"/>
  <c r="H20" i="5"/>
  <c r="J20" i="5"/>
  <c r="M20" i="5" s="1"/>
  <c r="H5" i="5"/>
  <c r="J5" i="5"/>
  <c r="K5" i="5" s="1"/>
  <c r="I3" i="1"/>
  <c r="T4" i="1" s="1"/>
  <c r="K24" i="5" l="1"/>
  <c r="M12" i="5"/>
  <c r="N12" i="5" s="1"/>
  <c r="K36" i="5"/>
  <c r="K37" i="5" s="1"/>
  <c r="M23" i="5"/>
  <c r="N23" i="5" s="1"/>
  <c r="N20" i="5"/>
  <c r="N19" i="5"/>
  <c r="N8" i="5"/>
  <c r="N11" i="5"/>
  <c r="K20" i="5"/>
  <c r="N13" i="5"/>
  <c r="K8" i="5"/>
  <c r="M15" i="5"/>
  <c r="K10" i="5"/>
  <c r="N14" i="5"/>
  <c r="M7" i="5"/>
  <c r="N10" i="5"/>
  <c r="N24" i="5"/>
  <c r="N4" i="5"/>
  <c r="M3" i="5"/>
  <c r="K19" i="5"/>
  <c r="M21" i="5"/>
  <c r="K14" i="5"/>
  <c r="M17" i="5"/>
  <c r="K11" i="5"/>
  <c r="M25" i="5"/>
  <c r="M9" i="5"/>
  <c r="K9" i="5"/>
  <c r="M22" i="5"/>
  <c r="M5" i="5"/>
  <c r="K13" i="5"/>
  <c r="K4" i="5"/>
  <c r="M16" i="5"/>
  <c r="M18" i="5"/>
  <c r="K18" i="5"/>
  <c r="I4" i="1"/>
  <c r="T5" i="1" s="1"/>
  <c r="N9" i="5" l="1"/>
  <c r="N22" i="5"/>
  <c r="N25" i="5"/>
  <c r="N17" i="5"/>
  <c r="N7" i="5"/>
  <c r="N18" i="5"/>
  <c r="N21" i="5"/>
  <c r="N16" i="5"/>
  <c r="N15" i="5"/>
  <c r="N5" i="5"/>
  <c r="N3" i="5"/>
  <c r="I5" i="1"/>
  <c r="I8" i="1" s="1"/>
  <c r="T8" i="1" s="1"/>
  <c r="N26" i="5" l="1"/>
  <c r="N27" i="5" s="1"/>
  <c r="T6" i="1"/>
</calcChain>
</file>

<file path=xl/sharedStrings.xml><?xml version="1.0" encoding="utf-8"?>
<sst xmlns="http://schemas.openxmlformats.org/spreadsheetml/2006/main" count="468" uniqueCount="179">
  <si>
    <t>Sales History</t>
  </si>
  <si>
    <t>Receipt No.</t>
  </si>
  <si>
    <t>Customer Name</t>
  </si>
  <si>
    <t>Date</t>
  </si>
  <si>
    <t>Item</t>
  </si>
  <si>
    <t>Quantity</t>
  </si>
  <si>
    <t>Total</t>
  </si>
  <si>
    <t>Price</t>
  </si>
  <si>
    <t>Color</t>
  </si>
  <si>
    <t>Size</t>
  </si>
  <si>
    <t>Stock</t>
  </si>
  <si>
    <t>Name</t>
  </si>
  <si>
    <t>ID</t>
  </si>
  <si>
    <t>Description</t>
  </si>
  <si>
    <t>Image</t>
  </si>
  <si>
    <t>Saree</t>
  </si>
  <si>
    <t>One Size</t>
  </si>
  <si>
    <t>C:\Users\User\Desktop\imgs\Sharara.png</t>
  </si>
  <si>
    <t>C:\Users\User\Desktop\imgs\Saree.png</t>
  </si>
  <si>
    <t>C:\Users\User\Desktop\imgs\Palazzo.png</t>
  </si>
  <si>
    <t>C:\Users\User\Desktop\imgs\Anarkali.png</t>
  </si>
  <si>
    <t>C:\Users\User\Desktop\imgs\Salwar.png</t>
  </si>
  <si>
    <t>C:\Users\User\Desktop\imgs\Lehenga.png</t>
  </si>
  <si>
    <t>C:\Users\User\Desktop\imgs\Kurta.png</t>
  </si>
  <si>
    <t>C:\Users\User\Desktop\imgs\Gowm.png</t>
  </si>
  <si>
    <t>C:\Users\User\Desktop\imgs\Patiala.png</t>
  </si>
  <si>
    <t>C:\Users\User\Desktop\imgs\Churidar.png</t>
  </si>
  <si>
    <t>POINT OF SALE</t>
  </si>
  <si>
    <t>Item Name:</t>
  </si>
  <si>
    <t>Item Load:</t>
  </si>
  <si>
    <t>Subtotal:</t>
  </si>
  <si>
    <t>Item Row:</t>
  </si>
  <si>
    <t>Tax:</t>
  </si>
  <si>
    <t>Receipt Row:</t>
  </si>
  <si>
    <t>Price:</t>
  </si>
  <si>
    <t>Total:</t>
  </si>
  <si>
    <t>Next Receipt No.:</t>
  </si>
  <si>
    <t>PayType:</t>
  </si>
  <si>
    <t>Item No:</t>
  </si>
  <si>
    <t>Quantity:</t>
  </si>
  <si>
    <t>Payment:</t>
  </si>
  <si>
    <t>Change:</t>
  </si>
  <si>
    <t>Scan Item:</t>
  </si>
  <si>
    <t>Customer Name:</t>
  </si>
  <si>
    <t>Email:</t>
  </si>
  <si>
    <t>Phone:</t>
  </si>
  <si>
    <t>Tax Invoice</t>
  </si>
  <si>
    <t>Kashish Designs</t>
  </si>
  <si>
    <t xml:space="preserve">        Customer Details:</t>
  </si>
  <si>
    <t>Date:</t>
  </si>
  <si>
    <t>Name:</t>
  </si>
  <si>
    <t>Invoice No.:</t>
  </si>
  <si>
    <t>Payment Mode:</t>
  </si>
  <si>
    <t>Sales Person:</t>
  </si>
  <si>
    <t>No.</t>
  </si>
  <si>
    <t>Item Name &amp; Description</t>
  </si>
  <si>
    <t>Price/Unit</t>
  </si>
  <si>
    <t>Paid Amount:</t>
  </si>
  <si>
    <t>Thank You for Shopping!</t>
  </si>
  <si>
    <r>
      <rPr>
        <b/>
        <sz val="11"/>
        <color rgb="FF00467A"/>
        <rFont val="Calibri"/>
        <family val="2"/>
        <scheme val="minor"/>
      </rPr>
      <t xml:space="preserve">Contact: </t>
    </r>
    <r>
      <rPr>
        <sz val="11"/>
        <color rgb="FF00467A"/>
        <rFont val="Calibri"/>
        <family val="2"/>
        <scheme val="minor"/>
      </rPr>
      <t>(973) 356-7363</t>
    </r>
  </si>
  <si>
    <r>
      <rPr>
        <b/>
        <sz val="11"/>
        <color rgb="FF00467A"/>
        <rFont val="Calibri"/>
        <family val="2"/>
        <scheme val="minor"/>
      </rPr>
      <t xml:space="preserve">Email: </t>
    </r>
    <r>
      <rPr>
        <sz val="11"/>
        <color rgb="FF00467A"/>
        <rFont val="Calibri"/>
        <family val="2"/>
        <scheme val="minor"/>
      </rPr>
      <t>kashishdesigns.5@gmail.com</t>
    </r>
  </si>
  <si>
    <t>Email</t>
  </si>
  <si>
    <t>Phone</t>
  </si>
  <si>
    <t>Sales Persn</t>
  </si>
  <si>
    <t>Cash</t>
  </si>
  <si>
    <t>S.N.</t>
  </si>
  <si>
    <t>Description of Goods</t>
  </si>
  <si>
    <t>Qty.</t>
  </si>
  <si>
    <t>Amount (₹)</t>
  </si>
  <si>
    <t>SILK V PC</t>
  </si>
  <si>
    <t>H2065S</t>
  </si>
  <si>
    <t>1072UD-BIG</t>
  </si>
  <si>
    <t>2966A-KS</t>
  </si>
  <si>
    <t>4961ACL-Rani</t>
  </si>
  <si>
    <t>5097ACL-MEHENDI</t>
  </si>
  <si>
    <t>1778JF-RAMA</t>
  </si>
  <si>
    <t>SHIMER EMBOS DUPTTA</t>
  </si>
  <si>
    <t>4961ACL-LIME</t>
  </si>
  <si>
    <t>3310ANT</t>
  </si>
  <si>
    <t>287GK - MUST</t>
  </si>
  <si>
    <t>2984KS-PURPLE</t>
  </si>
  <si>
    <t>1269SC-RANI</t>
  </si>
  <si>
    <t>1062UD-WINE-BIG</t>
  </si>
  <si>
    <t>1062UD-RANI-BIG</t>
  </si>
  <si>
    <t>102BC</t>
  </si>
  <si>
    <t>1484AR - PEACH</t>
  </si>
  <si>
    <t>277GK-A</t>
  </si>
  <si>
    <t>GAJI SILK PC</t>
  </si>
  <si>
    <t>1623VNF</t>
  </si>
  <si>
    <t>1621VNF</t>
  </si>
  <si>
    <t>CAPSULE BT</t>
  </si>
  <si>
    <t>Nayan</t>
  </si>
  <si>
    <t>Madhumita</t>
  </si>
  <si>
    <t>Gauri NX</t>
  </si>
  <si>
    <t>Sub-Total:</t>
  </si>
  <si>
    <t xml:space="preserve">Tax: </t>
  </si>
  <si>
    <t>Shipping:</t>
  </si>
  <si>
    <t xml:space="preserve">Shipping: </t>
  </si>
  <si>
    <t>Total with shipping:</t>
  </si>
  <si>
    <t>Shipping cost per Item:</t>
  </si>
  <si>
    <t>Shipping cost per item:</t>
  </si>
  <si>
    <t xml:space="preserve">Price with shipping cost </t>
  </si>
  <si>
    <t>Amount with Shipping cost</t>
  </si>
  <si>
    <t xml:space="preserve">Price ($) with Shipping cost </t>
  </si>
  <si>
    <t>Amount ($) with Shipping cost</t>
  </si>
  <si>
    <t>Total($):</t>
  </si>
  <si>
    <t>Amount with tax</t>
  </si>
  <si>
    <t>Tax per item:</t>
  </si>
  <si>
    <t>Price with Tax</t>
  </si>
  <si>
    <t>Tota($):</t>
  </si>
  <si>
    <t>Kesar</t>
  </si>
  <si>
    <t>Sun Star</t>
  </si>
  <si>
    <t>Mastani</t>
  </si>
  <si>
    <t>Shotshi</t>
  </si>
  <si>
    <t>Saraswati</t>
  </si>
  <si>
    <t>Mishathi</t>
  </si>
  <si>
    <t>Chanderi</t>
  </si>
  <si>
    <t>Pinaki</t>
  </si>
  <si>
    <t>Akila</t>
  </si>
  <si>
    <t>Akhil</t>
  </si>
  <si>
    <t>QTY</t>
  </si>
  <si>
    <t>Selling price</t>
  </si>
  <si>
    <t>Colors:</t>
  </si>
  <si>
    <t xml:space="preserve">White </t>
  </si>
  <si>
    <t>Blue</t>
  </si>
  <si>
    <t>Green</t>
  </si>
  <si>
    <t>Orange</t>
  </si>
  <si>
    <t>Pink</t>
  </si>
  <si>
    <t xml:space="preserve">Red </t>
  </si>
  <si>
    <t>Yellow</t>
  </si>
  <si>
    <t>N/A</t>
  </si>
  <si>
    <t>Delhi Ashish</t>
  </si>
  <si>
    <t>Silk Saree Kamlesh Bhai</t>
  </si>
  <si>
    <t>Price (PKR)</t>
  </si>
  <si>
    <t>Price ($)</t>
  </si>
  <si>
    <t>Amount ($)</t>
  </si>
  <si>
    <t>Munira</t>
  </si>
  <si>
    <t>Soni</t>
  </si>
  <si>
    <t>Volume 5</t>
  </si>
  <si>
    <t>Kashi</t>
  </si>
  <si>
    <t>Rajori</t>
  </si>
  <si>
    <t>Seturi Gio</t>
  </si>
  <si>
    <t>Macao</t>
  </si>
  <si>
    <t>Niyon Fendy</t>
  </si>
  <si>
    <t>Medam Fendy</t>
  </si>
  <si>
    <t>Thar</t>
  </si>
  <si>
    <t>Vodca</t>
  </si>
  <si>
    <t>Decock</t>
  </si>
  <si>
    <t>Kargil</t>
  </si>
  <si>
    <t>Tesla Fendy</t>
  </si>
  <si>
    <t>Saree Shop</t>
  </si>
  <si>
    <t>Airway Bill Number: 4723894572 (Ashish)</t>
  </si>
  <si>
    <t>Airway Bill Number: 4723373906 (Kamlesh)</t>
  </si>
  <si>
    <t>Airway Bill Number: 4723659040 (Cheap India)</t>
  </si>
  <si>
    <t>Pinaki (Deepmala)</t>
  </si>
  <si>
    <t>Akila (Deepmala)</t>
  </si>
  <si>
    <t>Akhil (Deepmala)</t>
  </si>
  <si>
    <t>Airway Bill Number: (Pakistan)</t>
  </si>
  <si>
    <t>Airway Bill Number:  381/81611/2025 (Pakistan)</t>
  </si>
  <si>
    <t>Airway Bill Number: (December)</t>
  </si>
  <si>
    <t>Pakistan</t>
  </si>
  <si>
    <t>Product Name &amp; Description</t>
  </si>
  <si>
    <t>Item No</t>
  </si>
  <si>
    <t>.</t>
  </si>
  <si>
    <t>Airway Bill Number: 4723166994, 4723791342, 4723712250</t>
  </si>
  <si>
    <t>Siddici</t>
  </si>
  <si>
    <t>Marysur</t>
  </si>
  <si>
    <t>Haveli</t>
  </si>
  <si>
    <t>Viprota</t>
  </si>
  <si>
    <t>Alaska</t>
  </si>
  <si>
    <t>Doda</t>
  </si>
  <si>
    <t>Raj Mandir</t>
  </si>
  <si>
    <t>Nasib</t>
  </si>
  <si>
    <t>Chahal</t>
  </si>
  <si>
    <t>Vishwambhari</t>
  </si>
  <si>
    <t>Mexican Fendy</t>
  </si>
  <si>
    <t>Parita Fendy</t>
  </si>
  <si>
    <t>Jamiya</t>
  </si>
  <si>
    <t>Tesla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</si>
</sst>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_ [$₹-4009]\ * #,##0.00_ ;_ [$₹-4009]\ * \-#,##0.00_ ;_ [$₹-4009]\ * &quot;-&quot;??_ ;_ @_ "/>
    <numFmt numFmtId="165" formatCode="_ [$₹-447]* #,##0.00_ ;_ [$₹-447]* \-#,##0.00_ ;_ [$₹-447]* &quot;-&quot;??_ ;_ @_ "/>
    <numFmt numFmtId="166" formatCode="_([$PKR]\ * #,##0.00_);_([$PKR]\ * \(#,##0.00\);_([$PKR]\ 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 Light"/>
      <family val="2"/>
      <scheme val="major"/>
    </font>
    <font>
      <sz val="36"/>
      <color theme="1"/>
      <name val="Calibri Light"/>
      <family val="2"/>
      <scheme val="major"/>
    </font>
    <font>
      <sz val="11"/>
      <color rgb="FF00467A"/>
      <name val="Calibri"/>
      <family val="2"/>
      <scheme val="minor"/>
    </font>
    <font>
      <sz val="28"/>
      <color rgb="FF00467A"/>
      <name val="Algerian"/>
      <family val="5"/>
    </font>
    <font>
      <b/>
      <sz val="11"/>
      <color rgb="FF00467A"/>
      <name val="Calibri"/>
      <family val="2"/>
      <scheme val="minor"/>
    </font>
    <font>
      <i/>
      <sz val="11"/>
      <color rgb="FF00467A"/>
      <name val="Calibri"/>
      <family val="2"/>
      <scheme val="minor"/>
    </font>
    <font>
      <b/>
      <i/>
      <sz val="11"/>
      <color rgb="FF00467A"/>
      <name val="Calibri"/>
      <family val="2"/>
      <scheme val="minor"/>
    </font>
    <font>
      <i/>
      <sz val="11"/>
      <color rgb="FF00467A"/>
      <name val="Amasis MT Pro Black"/>
      <family val="1"/>
    </font>
    <font>
      <i/>
      <sz val="11"/>
      <color theme="1"/>
      <name val="Calibri"/>
      <family val="2"/>
      <scheme val="minor"/>
    </font>
    <font>
      <b/>
      <sz val="11"/>
      <color theme="0"/>
      <name val="Amasis MT Pro Black"/>
      <family val="1"/>
    </font>
    <font>
      <sz val="11"/>
      <name val="Calibri Light"/>
      <family val="2"/>
      <scheme val="maj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003366"/>
      <name val="Calibri"/>
      <family val="2"/>
    </font>
    <font>
      <b/>
      <sz val="11"/>
      <color rgb="FF00008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F9FF"/>
        <bgColor indexed="64"/>
      </patternFill>
    </fill>
    <fill>
      <patternFill patternType="solid">
        <fgColor theme="4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theme="3" tint="9.9887081514938816E-2"/>
      </left>
      <right style="hair">
        <color theme="3" tint="9.9917600024414813E-2"/>
      </right>
      <top style="thin">
        <color theme="3" tint="9.9917600024414813E-2"/>
      </top>
      <bottom style="thin">
        <color theme="3" tint="9.9887081514938816E-2"/>
      </bottom>
      <diagonal/>
    </border>
    <border>
      <left style="hair">
        <color theme="3" tint="9.9917600024414813E-2"/>
      </left>
      <right style="thin">
        <color theme="3" tint="9.9887081514938816E-2"/>
      </right>
      <top style="thin">
        <color theme="3" tint="9.9917600024414813E-2"/>
      </top>
      <bottom style="thin">
        <color theme="3" tint="9.9887081514938816E-2"/>
      </bottom>
      <diagonal/>
    </border>
    <border>
      <left style="thin">
        <color theme="3" tint="9.9887081514938816E-2"/>
      </left>
      <right style="hair">
        <color theme="3" tint="9.9917600024414813E-2"/>
      </right>
      <top style="thin">
        <color theme="3" tint="9.9887081514938816E-2"/>
      </top>
      <bottom style="thin">
        <color theme="3" tint="9.9887081514938816E-2"/>
      </bottom>
      <diagonal/>
    </border>
    <border>
      <left style="hair">
        <color theme="3" tint="9.9917600024414813E-2"/>
      </left>
      <right style="thin">
        <color theme="3" tint="9.9887081514938816E-2"/>
      </right>
      <top style="thin">
        <color theme="3" tint="9.9887081514938816E-2"/>
      </top>
      <bottom style="thin">
        <color theme="3" tint="9.9887081514938816E-2"/>
      </bottom>
      <diagonal/>
    </border>
    <border>
      <left style="thin">
        <color theme="3" tint="9.9887081514938816E-2"/>
      </left>
      <right style="hair">
        <color theme="3" tint="9.9917600024414813E-2"/>
      </right>
      <top style="thin">
        <color theme="3" tint="9.9887081514938816E-2"/>
      </top>
      <bottom/>
      <diagonal/>
    </border>
    <border>
      <left style="hair">
        <color theme="3" tint="9.9917600024414813E-2"/>
      </left>
      <right style="thin">
        <color theme="3" tint="9.9887081514938816E-2"/>
      </right>
      <top style="thin">
        <color theme="3" tint="9.9887081514938816E-2"/>
      </top>
      <bottom/>
      <diagonal/>
    </border>
    <border>
      <left style="thin">
        <color theme="3" tint="9.9887081514938816E-2"/>
      </left>
      <right style="hair">
        <color theme="3" tint="9.985656300546282E-2"/>
      </right>
      <top style="thin">
        <color theme="3" tint="9.985656300546282E-2"/>
      </top>
      <bottom style="thin">
        <color indexed="64"/>
      </bottom>
      <diagonal/>
    </border>
    <border>
      <left style="hair">
        <color theme="3" tint="9.985656300546282E-2"/>
      </left>
      <right style="thin">
        <color theme="3" tint="9.9887081514938816E-2"/>
      </right>
      <top style="thin">
        <color theme="3" tint="9.985656300546282E-2"/>
      </top>
      <bottom style="thin">
        <color indexed="64"/>
      </bottom>
      <diagonal/>
    </border>
    <border>
      <left style="thin">
        <color indexed="64"/>
      </left>
      <right style="hair">
        <color theme="4" tint="-0.499984740745262"/>
      </right>
      <top style="thin">
        <color indexed="64"/>
      </top>
      <bottom style="thin">
        <color indexed="64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indexed="64"/>
      </top>
      <bottom style="thin">
        <color indexed="64"/>
      </bottom>
      <diagonal/>
    </border>
    <border>
      <left style="hair">
        <color theme="4" tint="-0.499984740745262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4" tint="-0.499984740745262"/>
      </right>
      <top style="thin">
        <color indexed="64"/>
      </top>
      <bottom style="thin">
        <color indexed="64"/>
      </bottom>
      <diagonal/>
    </border>
    <border>
      <left style="hair">
        <color theme="4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467A"/>
      </left>
      <right/>
      <top style="thin">
        <color rgb="FF00467A"/>
      </top>
      <bottom style="thin">
        <color rgb="FF00467A"/>
      </bottom>
      <diagonal/>
    </border>
    <border>
      <left/>
      <right/>
      <top style="thin">
        <color rgb="FF00467A"/>
      </top>
      <bottom style="thin">
        <color rgb="FF00467A"/>
      </bottom>
      <diagonal/>
    </border>
    <border>
      <left/>
      <right style="thin">
        <color rgb="FF00467A"/>
      </right>
      <top style="thin">
        <color rgb="FF00467A"/>
      </top>
      <bottom style="thin">
        <color rgb="FF00467A"/>
      </bottom>
      <diagonal/>
    </border>
    <border>
      <left style="thin">
        <color rgb="FF00467A"/>
      </left>
      <right/>
      <top style="thin">
        <color rgb="FF00467A"/>
      </top>
      <bottom/>
      <diagonal/>
    </border>
    <border>
      <left/>
      <right/>
      <top style="thin">
        <color rgb="FF00467A"/>
      </top>
      <bottom/>
      <diagonal/>
    </border>
    <border>
      <left/>
      <right style="thin">
        <color rgb="FF00467A"/>
      </right>
      <top style="thin">
        <color rgb="FF00467A"/>
      </top>
      <bottom/>
      <diagonal/>
    </border>
    <border>
      <left style="thin">
        <color rgb="FF00467A"/>
      </left>
      <right/>
      <top/>
      <bottom/>
      <diagonal/>
    </border>
    <border>
      <left/>
      <right style="thin">
        <color rgb="FF00467A"/>
      </right>
      <top/>
      <bottom/>
      <diagonal/>
    </border>
    <border>
      <left style="thin">
        <color rgb="FF00467A"/>
      </left>
      <right/>
      <top/>
      <bottom style="thin">
        <color rgb="FF00467A"/>
      </bottom>
      <diagonal/>
    </border>
    <border>
      <left/>
      <right/>
      <top/>
      <bottom style="thin">
        <color rgb="FF00467A"/>
      </bottom>
      <diagonal/>
    </border>
    <border>
      <left/>
      <right style="thin">
        <color rgb="FF00467A"/>
      </right>
      <top/>
      <bottom style="thin">
        <color rgb="FF00467A"/>
      </bottom>
      <diagonal/>
    </border>
    <border>
      <left/>
      <right/>
      <top/>
      <bottom style="dotted">
        <color rgb="FF00467A"/>
      </bottom>
      <diagonal/>
    </border>
    <border>
      <left/>
      <right style="thin">
        <color rgb="FF00467A"/>
      </right>
      <top/>
      <bottom style="dotted">
        <color rgb="FF00467A"/>
      </bottom>
      <diagonal/>
    </border>
    <border>
      <left/>
      <right/>
      <top style="dotted">
        <color rgb="FF00467A"/>
      </top>
      <bottom style="dotted">
        <color rgb="FF00467A"/>
      </bottom>
      <diagonal/>
    </border>
    <border>
      <left/>
      <right style="thin">
        <color rgb="FF00467A"/>
      </right>
      <top style="dotted">
        <color rgb="FF00467A"/>
      </top>
      <bottom style="dotted">
        <color rgb="FF00467A"/>
      </bottom>
      <diagonal/>
    </border>
    <border>
      <left style="thin">
        <color rgb="FF00467A"/>
      </left>
      <right style="thin">
        <color rgb="FF00467A"/>
      </right>
      <top style="thin">
        <color rgb="FF00467A"/>
      </top>
      <bottom style="thin">
        <color rgb="FF00467A"/>
      </bottom>
      <diagonal/>
    </border>
    <border>
      <left style="thin">
        <color rgb="FF00467A"/>
      </left>
      <right style="hair">
        <color rgb="FF00467A"/>
      </right>
      <top style="thin">
        <color rgb="FF00467A"/>
      </top>
      <bottom style="hair">
        <color rgb="FF00467A"/>
      </bottom>
      <diagonal/>
    </border>
    <border>
      <left/>
      <right/>
      <top style="thin">
        <color rgb="FF00467A"/>
      </top>
      <bottom style="hair">
        <color rgb="FF00467A"/>
      </bottom>
      <diagonal/>
    </border>
    <border>
      <left/>
      <right style="hair">
        <color rgb="FF00467A"/>
      </right>
      <top style="thin">
        <color rgb="FF00467A"/>
      </top>
      <bottom style="hair">
        <color rgb="FF00467A"/>
      </bottom>
      <diagonal/>
    </border>
    <border>
      <left style="hair">
        <color rgb="FF00467A"/>
      </left>
      <right style="hair">
        <color rgb="FF00467A"/>
      </right>
      <top style="thin">
        <color rgb="FF00467A"/>
      </top>
      <bottom style="hair">
        <color rgb="FF00467A"/>
      </bottom>
      <diagonal/>
    </border>
    <border>
      <left style="hair">
        <color rgb="FF00467A"/>
      </left>
      <right style="thin">
        <color rgb="FF00467A"/>
      </right>
      <top style="thin">
        <color rgb="FF00467A"/>
      </top>
      <bottom style="hair">
        <color rgb="FF00467A"/>
      </bottom>
      <diagonal/>
    </border>
    <border>
      <left style="thin">
        <color rgb="FF00467A"/>
      </left>
      <right style="hair">
        <color rgb="FF00467A"/>
      </right>
      <top style="hair">
        <color rgb="FF00467A"/>
      </top>
      <bottom style="hair">
        <color rgb="FF00467A"/>
      </bottom>
      <diagonal/>
    </border>
    <border>
      <left/>
      <right/>
      <top style="hair">
        <color rgb="FF00467A"/>
      </top>
      <bottom style="hair">
        <color rgb="FF00467A"/>
      </bottom>
      <diagonal/>
    </border>
    <border>
      <left/>
      <right style="hair">
        <color rgb="FF00467A"/>
      </right>
      <top style="hair">
        <color rgb="FF00467A"/>
      </top>
      <bottom style="hair">
        <color rgb="FF00467A"/>
      </bottom>
      <diagonal/>
    </border>
    <border>
      <left style="hair">
        <color rgb="FF00467A"/>
      </left>
      <right style="hair">
        <color rgb="FF00467A"/>
      </right>
      <top style="hair">
        <color rgb="FF00467A"/>
      </top>
      <bottom style="hair">
        <color rgb="FF00467A"/>
      </bottom>
      <diagonal/>
    </border>
    <border>
      <left style="hair">
        <color rgb="FF00467A"/>
      </left>
      <right style="thin">
        <color rgb="FF00467A"/>
      </right>
      <top style="hair">
        <color rgb="FF00467A"/>
      </top>
      <bottom style="hair">
        <color rgb="FF00467A"/>
      </bottom>
      <diagonal/>
    </border>
    <border>
      <left style="thin">
        <color rgb="FF00467A"/>
      </left>
      <right style="hair">
        <color rgb="FF00467A"/>
      </right>
      <top style="hair">
        <color rgb="FF00467A"/>
      </top>
      <bottom style="thin">
        <color rgb="FF00467A"/>
      </bottom>
      <diagonal/>
    </border>
    <border>
      <left/>
      <right/>
      <top style="hair">
        <color rgb="FF00467A"/>
      </top>
      <bottom style="thin">
        <color rgb="FF00467A"/>
      </bottom>
      <diagonal/>
    </border>
    <border>
      <left/>
      <right style="hair">
        <color rgb="FF00467A"/>
      </right>
      <top style="hair">
        <color rgb="FF00467A"/>
      </top>
      <bottom style="thin">
        <color rgb="FF00467A"/>
      </bottom>
      <diagonal/>
    </border>
    <border>
      <left style="hair">
        <color rgb="FF00467A"/>
      </left>
      <right style="hair">
        <color rgb="FF00467A"/>
      </right>
      <top style="hair">
        <color rgb="FF00467A"/>
      </top>
      <bottom style="thin">
        <color rgb="FF00467A"/>
      </bottom>
      <diagonal/>
    </border>
    <border>
      <left style="hair">
        <color rgb="FF00467A"/>
      </left>
      <right style="thin">
        <color rgb="FF00467A"/>
      </right>
      <top style="hair">
        <color rgb="FF00467A"/>
      </top>
      <bottom style="thin">
        <color rgb="FF00467A"/>
      </bottom>
      <diagonal/>
    </border>
    <border>
      <left style="hair">
        <color rgb="FF00467A"/>
      </left>
      <right/>
      <top style="thin">
        <color rgb="FF00467A"/>
      </top>
      <bottom style="hair">
        <color rgb="FF00467A"/>
      </bottom>
      <diagonal/>
    </border>
    <border>
      <left style="hair">
        <color rgb="FF00467A"/>
      </left>
      <right/>
      <top style="hair">
        <color rgb="FF00467A"/>
      </top>
      <bottom style="hair">
        <color rgb="FF00467A"/>
      </bottom>
      <diagonal/>
    </border>
    <border>
      <left style="hair">
        <color rgb="FF00467A"/>
      </left>
      <right style="hair">
        <color rgb="FF00467A"/>
      </right>
      <top style="hair">
        <color rgb="FF00467A"/>
      </top>
      <bottom/>
      <diagonal/>
    </border>
    <border>
      <left style="hair">
        <color rgb="FF00467A"/>
      </left>
      <right style="thin">
        <color rgb="FF00467A"/>
      </right>
      <top style="hair">
        <color rgb="FF00467A"/>
      </top>
      <bottom/>
      <diagonal/>
    </border>
    <border>
      <left style="hair">
        <color rgb="FF00467A"/>
      </left>
      <right style="hair">
        <color rgb="FF00467A"/>
      </right>
      <top/>
      <bottom style="hair">
        <color rgb="FF00467A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rgb="FF00467A"/>
      </left>
      <right style="thin">
        <color rgb="FF00467A"/>
      </right>
      <top/>
      <bottom/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82">
    <xf numFmtId="0" fontId="0" fillId="0" borderId="0" xfId="0"/>
    <xf numFmtId="0" fontId="2" fillId="2" borderId="0" xfId="0" applyFont="1" applyFill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5" fillId="6" borderId="0" xfId="0" applyFont="1" applyFill="1"/>
    <xf numFmtId="7" fontId="5" fillId="7" borderId="6" xfId="0" applyNumberFormat="1" applyFont="1" applyFill="1" applyBorder="1"/>
    <xf numFmtId="2" fontId="5" fillId="7" borderId="6" xfId="0" applyNumberFormat="1" applyFont="1" applyFill="1" applyBorder="1"/>
    <xf numFmtId="0" fontId="5" fillId="5" borderId="0" xfId="0" applyFont="1" applyFill="1"/>
    <xf numFmtId="2" fontId="5" fillId="5" borderId="0" xfId="0" applyNumberFormat="1" applyFont="1" applyFill="1"/>
    <xf numFmtId="0" fontId="5" fillId="8" borderId="0" xfId="0" applyFont="1" applyFill="1"/>
    <xf numFmtId="0" fontId="5" fillId="8" borderId="2" xfId="0" applyFont="1" applyFill="1" applyBorder="1" applyAlignment="1">
      <alignment horizontal="left"/>
    </xf>
    <xf numFmtId="0" fontId="5" fillId="8" borderId="5" xfId="0" applyFont="1" applyFill="1" applyBorder="1"/>
    <xf numFmtId="0" fontId="0" fillId="0" borderId="0" xfId="0" applyAlignment="1">
      <alignment horizontal="center"/>
    </xf>
    <xf numFmtId="0" fontId="0" fillId="8" borderId="0" xfId="0" applyFill="1"/>
    <xf numFmtId="0" fontId="5" fillId="8" borderId="0" xfId="0" applyFont="1" applyFill="1" applyAlignment="1">
      <alignment horizontal="right"/>
    </xf>
    <xf numFmtId="44" fontId="5" fillId="8" borderId="0" xfId="1" applyFont="1" applyFill="1" applyBorder="1"/>
    <xf numFmtId="0" fontId="5" fillId="8" borderId="9" xfId="0" applyFont="1" applyFill="1" applyBorder="1" applyAlignment="1">
      <alignment horizontal="right"/>
    </xf>
    <xf numFmtId="44" fontId="5" fillId="8" borderId="10" xfId="1" applyFont="1" applyFill="1" applyBorder="1"/>
    <xf numFmtId="0" fontId="5" fillId="8" borderId="11" xfId="0" applyFont="1" applyFill="1" applyBorder="1" applyAlignment="1">
      <alignment horizontal="right"/>
    </xf>
    <xf numFmtId="44" fontId="5" fillId="8" borderId="12" xfId="1" applyFont="1" applyFill="1" applyBorder="1"/>
    <xf numFmtId="0" fontId="5" fillId="7" borderId="12" xfId="0" applyFont="1" applyFill="1" applyBorder="1" applyAlignment="1">
      <alignment horizontal="right"/>
    </xf>
    <xf numFmtId="0" fontId="5" fillId="8" borderId="13" xfId="0" applyFont="1" applyFill="1" applyBorder="1" applyAlignment="1">
      <alignment horizontal="right"/>
    </xf>
    <xf numFmtId="44" fontId="5" fillId="7" borderId="14" xfId="1" applyFont="1" applyFill="1" applyBorder="1"/>
    <xf numFmtId="0" fontId="5" fillId="8" borderId="15" xfId="0" applyFont="1" applyFill="1" applyBorder="1" applyAlignment="1">
      <alignment horizontal="right"/>
    </xf>
    <xf numFmtId="44" fontId="5" fillId="8" borderId="16" xfId="1" applyFont="1" applyFill="1" applyBorder="1"/>
    <xf numFmtId="49" fontId="5" fillId="8" borderId="17" xfId="0" applyNumberFormat="1" applyFont="1" applyFill="1" applyBorder="1"/>
    <xf numFmtId="0" fontId="5" fillId="8" borderId="17" xfId="0" applyFont="1" applyFill="1" applyBorder="1"/>
    <xf numFmtId="0" fontId="7" fillId="9" borderId="31" xfId="0" applyFont="1" applyFill="1" applyBorder="1" applyAlignment="1">
      <alignment horizontal="center"/>
    </xf>
    <xf numFmtId="0" fontId="7" fillId="9" borderId="31" xfId="0" applyFont="1" applyFill="1" applyBorder="1"/>
    <xf numFmtId="0" fontId="9" fillId="9" borderId="25" xfId="0" applyFont="1" applyFill="1" applyBorder="1"/>
    <xf numFmtId="0" fontId="7" fillId="9" borderId="26" xfId="0" applyFont="1" applyFill="1" applyBorder="1"/>
    <xf numFmtId="0" fontId="7" fillId="9" borderId="27" xfId="0" applyFont="1" applyFill="1" applyBorder="1"/>
    <xf numFmtId="0" fontId="9" fillId="9" borderId="28" xfId="0" applyFont="1" applyFill="1" applyBorder="1"/>
    <xf numFmtId="0" fontId="9" fillId="9" borderId="0" xfId="0" applyFont="1" applyFill="1"/>
    <xf numFmtId="0" fontId="7" fillId="9" borderId="0" xfId="0" applyFont="1" applyFill="1"/>
    <xf numFmtId="0" fontId="9" fillId="9" borderId="0" xfId="0" applyFont="1" applyFill="1" applyAlignment="1">
      <alignment horizontal="right"/>
    </xf>
    <xf numFmtId="0" fontId="9" fillId="9" borderId="28" xfId="0" applyFont="1" applyFill="1" applyBorder="1" applyAlignment="1">
      <alignment horizontal="right"/>
    </xf>
    <xf numFmtId="0" fontId="7" fillId="9" borderId="35" xfId="0" applyFont="1" applyFill="1" applyBorder="1" applyAlignment="1">
      <alignment horizontal="left"/>
    </xf>
    <xf numFmtId="0" fontId="7" fillId="9" borderId="30" xfId="0" applyFont="1" applyFill="1" applyBorder="1"/>
    <xf numFmtId="0" fontId="9" fillId="9" borderId="31" xfId="0" applyFont="1" applyFill="1" applyBorder="1"/>
    <xf numFmtId="0" fontId="7" fillId="9" borderId="32" xfId="0" applyFont="1" applyFill="1" applyBorder="1"/>
    <xf numFmtId="0" fontId="9" fillId="9" borderId="37" xfId="0" applyFont="1" applyFill="1" applyBorder="1" applyAlignment="1">
      <alignment horizontal="center"/>
    </xf>
    <xf numFmtId="0" fontId="7" fillId="9" borderId="38" xfId="0" applyFont="1" applyFill="1" applyBorder="1"/>
    <xf numFmtId="0" fontId="7" fillId="9" borderId="43" xfId="0" applyFont="1" applyFill="1" applyBorder="1"/>
    <xf numFmtId="0" fontId="7" fillId="9" borderId="48" xfId="0" applyFont="1" applyFill="1" applyBorder="1"/>
    <xf numFmtId="0" fontId="7" fillId="9" borderId="28" xfId="0" applyFont="1" applyFill="1" applyBorder="1"/>
    <xf numFmtId="0" fontId="7" fillId="9" borderId="29" xfId="0" applyFont="1" applyFill="1" applyBorder="1"/>
    <xf numFmtId="0" fontId="9" fillId="9" borderId="22" xfId="0" applyFont="1" applyFill="1" applyBorder="1" applyAlignment="1">
      <alignment horizontal="right"/>
    </xf>
    <xf numFmtId="0" fontId="9" fillId="9" borderId="24" xfId="0" applyFont="1" applyFill="1" applyBorder="1"/>
    <xf numFmtId="0" fontId="10" fillId="9" borderId="28" xfId="0" applyFont="1" applyFill="1" applyBorder="1"/>
    <xf numFmtId="0" fontId="10" fillId="9" borderId="0" xfId="0" applyFont="1" applyFill="1"/>
    <xf numFmtId="0" fontId="11" fillId="9" borderId="0" xfId="0" applyFont="1" applyFill="1" applyAlignment="1">
      <alignment horizontal="right"/>
    </xf>
    <xf numFmtId="0" fontId="10" fillId="9" borderId="29" xfId="0" applyFont="1" applyFill="1" applyBorder="1"/>
    <xf numFmtId="0" fontId="10" fillId="9" borderId="30" xfId="0" applyFont="1" applyFill="1" applyBorder="1"/>
    <xf numFmtId="0" fontId="10" fillId="9" borderId="31" xfId="0" applyFont="1" applyFill="1" applyBorder="1"/>
    <xf numFmtId="0" fontId="10" fillId="9" borderId="32" xfId="0" applyFont="1" applyFill="1" applyBorder="1"/>
    <xf numFmtId="0" fontId="7" fillId="9" borderId="33" xfId="0" applyFont="1" applyFill="1" applyBorder="1" applyAlignment="1">
      <alignment horizontal="left"/>
    </xf>
    <xf numFmtId="44" fontId="7" fillId="9" borderId="41" xfId="1" applyFont="1" applyFill="1" applyBorder="1"/>
    <xf numFmtId="44" fontId="7" fillId="9" borderId="42" xfId="1" applyFont="1" applyFill="1" applyBorder="1"/>
    <xf numFmtId="44" fontId="7" fillId="9" borderId="46" xfId="1" applyFont="1" applyFill="1" applyBorder="1"/>
    <xf numFmtId="44" fontId="7" fillId="9" borderId="47" xfId="1" applyFont="1" applyFill="1" applyBorder="1"/>
    <xf numFmtId="44" fontId="7" fillId="9" borderId="51" xfId="1" applyFont="1" applyFill="1" applyBorder="1"/>
    <xf numFmtId="44" fontId="7" fillId="9" borderId="52" xfId="1" applyFont="1" applyFill="1" applyBorder="1"/>
    <xf numFmtId="2" fontId="7" fillId="9" borderId="41" xfId="0" applyNumberFormat="1" applyFont="1" applyFill="1" applyBorder="1"/>
    <xf numFmtId="2" fontId="7" fillId="9" borderId="46" xfId="0" applyNumberFormat="1" applyFont="1" applyFill="1" applyBorder="1"/>
    <xf numFmtId="2" fontId="7" fillId="9" borderId="51" xfId="0" applyNumberFormat="1" applyFont="1" applyFill="1" applyBorder="1"/>
    <xf numFmtId="44" fontId="0" fillId="0" borderId="0" xfId="1" applyFont="1"/>
    <xf numFmtId="2" fontId="7" fillId="9" borderId="41" xfId="1" applyNumberFormat="1" applyFont="1" applyFill="1" applyBorder="1"/>
    <xf numFmtId="2" fontId="7" fillId="9" borderId="46" xfId="1" applyNumberFormat="1" applyFont="1" applyFill="1" applyBorder="1"/>
    <xf numFmtId="2" fontId="0" fillId="0" borderId="0" xfId="1" applyNumberFormat="1" applyFont="1"/>
    <xf numFmtId="0" fontId="7" fillId="9" borderId="38" xfId="0" applyFont="1" applyFill="1" applyBorder="1" applyAlignment="1">
      <alignment horizontal="center"/>
    </xf>
    <xf numFmtId="0" fontId="7" fillId="9" borderId="43" xfId="0" applyFont="1" applyFill="1" applyBorder="1" applyAlignment="1">
      <alignment horizontal="center"/>
    </xf>
    <xf numFmtId="0" fontId="13" fillId="8" borderId="0" xfId="0" applyFont="1" applyFill="1"/>
    <xf numFmtId="49" fontId="5" fillId="6" borderId="0" xfId="0" applyNumberFormat="1" applyFont="1" applyFill="1"/>
    <xf numFmtId="44" fontId="7" fillId="9" borderId="47" xfId="0" applyNumberFormat="1" applyFont="1" applyFill="1" applyBorder="1"/>
    <xf numFmtId="44" fontId="10" fillId="9" borderId="47" xfId="0" applyNumberFormat="1" applyFont="1" applyFill="1" applyBorder="1"/>
    <xf numFmtId="22" fontId="0" fillId="0" borderId="0" xfId="0" applyNumberFormat="1"/>
    <xf numFmtId="7" fontId="0" fillId="0" borderId="0" xfId="0" applyNumberFormat="1"/>
    <xf numFmtId="0" fontId="3" fillId="0" borderId="0" xfId="0" applyFont="1" applyAlignment="1">
      <alignment horizontal="center" vertical="center" wrapText="1"/>
    </xf>
    <xf numFmtId="164" fontId="3" fillId="0" borderId="0" xfId="0" applyNumberFormat="1" applyFont="1"/>
    <xf numFmtId="164" fontId="0" fillId="0" borderId="0" xfId="0" applyNumberFormat="1"/>
    <xf numFmtId="44" fontId="3" fillId="0" borderId="0" xfId="1" applyFont="1"/>
    <xf numFmtId="164" fontId="3" fillId="0" borderId="0" xfId="1" applyNumberFormat="1" applyFont="1"/>
    <xf numFmtId="164" fontId="0" fillId="0" borderId="0" xfId="1" applyNumberFormat="1" applyFont="1"/>
    <xf numFmtId="164" fontId="3" fillId="0" borderId="0" xfId="1" applyNumberFormat="1" applyFont="1" applyAlignment="1">
      <alignment horizontal="right"/>
    </xf>
    <xf numFmtId="0" fontId="3" fillId="0" borderId="0" xfId="0" applyFont="1" applyAlignment="1">
      <alignment horizontal="center" vertical="center"/>
    </xf>
    <xf numFmtId="164" fontId="3" fillId="0" borderId="0" xfId="1" applyNumberFormat="1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wrapText="1"/>
    </xf>
    <xf numFmtId="164" fontId="3" fillId="0" borderId="0" xfId="0" applyNumberFormat="1" applyFont="1" applyAlignment="1">
      <alignment horizontal="center" vertical="center" wrapText="1"/>
    </xf>
    <xf numFmtId="44" fontId="3" fillId="0" borderId="0" xfId="1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28" xfId="0" applyBorder="1"/>
    <xf numFmtId="0" fontId="5" fillId="0" borderId="0" xfId="0" applyFont="1" applyAlignment="1">
      <alignment horizontal="right"/>
    </xf>
    <xf numFmtId="44" fontId="5" fillId="0" borderId="29" xfId="0" applyNumberFormat="1" applyFont="1" applyBorder="1" applyAlignment="1">
      <alignment horizontal="right"/>
    </xf>
    <xf numFmtId="7" fontId="5" fillId="0" borderId="0" xfId="0" applyNumberFormat="1" applyFont="1" applyAlignment="1">
      <alignment horizontal="right"/>
    </xf>
    <xf numFmtId="7" fontId="5" fillId="0" borderId="29" xfId="0" applyNumberFormat="1" applyFont="1" applyBorder="1" applyAlignment="1">
      <alignment horizontal="right"/>
    </xf>
    <xf numFmtId="44" fontId="7" fillId="9" borderId="56" xfId="1" applyFont="1" applyFill="1" applyBorder="1"/>
    <xf numFmtId="7" fontId="7" fillId="9" borderId="46" xfId="1" applyNumberFormat="1" applyFont="1" applyFill="1" applyBorder="1" applyAlignment="1">
      <alignment horizontal="right"/>
    </xf>
    <xf numFmtId="7" fontId="7" fillId="9" borderId="55" xfId="1" applyNumberFormat="1" applyFont="1" applyFill="1" applyBorder="1" applyAlignment="1">
      <alignment horizontal="right"/>
    </xf>
    <xf numFmtId="7" fontId="7" fillId="9" borderId="57" xfId="1" applyNumberFormat="1" applyFont="1" applyFill="1" applyBorder="1" applyAlignment="1">
      <alignment horizontal="right"/>
    </xf>
    <xf numFmtId="44" fontId="7" fillId="9" borderId="46" xfId="1" applyFont="1" applyFill="1" applyBorder="1" applyAlignment="1">
      <alignment horizontal="right"/>
    </xf>
    <xf numFmtId="44" fontId="7" fillId="9" borderId="26" xfId="1" applyFont="1" applyFill="1" applyBorder="1"/>
    <xf numFmtId="44" fontId="7" fillId="9" borderId="31" xfId="1" applyFont="1" applyFill="1" applyBorder="1"/>
    <xf numFmtId="44" fontId="9" fillId="9" borderId="37" xfId="1" applyFont="1" applyFill="1" applyBorder="1" applyAlignment="1">
      <alignment horizontal="center"/>
    </xf>
    <xf numFmtId="7" fontId="10" fillId="9" borderId="46" xfId="1" applyNumberFormat="1" applyFont="1" applyFill="1" applyBorder="1" applyAlignment="1">
      <alignment horizontal="right"/>
    </xf>
    <xf numFmtId="44" fontId="0" fillId="0" borderId="0" xfId="0" applyNumberFormat="1"/>
    <xf numFmtId="165" fontId="3" fillId="0" borderId="0" xfId="1" applyNumberFormat="1" applyFont="1"/>
    <xf numFmtId="0" fontId="2" fillId="4" borderId="58" xfId="0" applyFont="1" applyFill="1" applyBorder="1" applyAlignment="1">
      <alignment horizontal="center"/>
    </xf>
    <xf numFmtId="44" fontId="2" fillId="4" borderId="1" xfId="1" applyFont="1" applyFill="1" applyBorder="1" applyAlignment="1">
      <alignment horizontal="center"/>
    </xf>
    <xf numFmtId="166" fontId="0" fillId="0" borderId="0" xfId="0" applyNumberFormat="1"/>
    <xf numFmtId="166" fontId="0" fillId="0" borderId="0" xfId="1" applyNumberFormat="1" applyFont="1"/>
    <xf numFmtId="4" fontId="0" fillId="0" borderId="0" xfId="0" applyNumberFormat="1"/>
    <xf numFmtId="0" fontId="7" fillId="9" borderId="53" xfId="0" applyFont="1" applyFill="1" applyBorder="1"/>
    <xf numFmtId="0" fontId="9" fillId="9" borderId="23" xfId="0" applyFont="1" applyFill="1" applyBorder="1" applyAlignment="1">
      <alignment horizontal="center"/>
    </xf>
    <xf numFmtId="0" fontId="7" fillId="9" borderId="54" xfId="0" applyFont="1" applyFill="1" applyBorder="1"/>
    <xf numFmtId="0" fontId="7" fillId="9" borderId="45" xfId="0" applyFont="1" applyFill="1" applyBorder="1"/>
    <xf numFmtId="44" fontId="3" fillId="0" borderId="0" xfId="0" applyNumberFormat="1" applyFont="1"/>
    <xf numFmtId="166" fontId="3" fillId="0" borderId="0" xfId="0" applyNumberFormat="1" applyFont="1"/>
    <xf numFmtId="0" fontId="7" fillId="9" borderId="0" xfId="0" applyFont="1" applyFill="1" applyAlignment="1">
      <alignment horizontal="left"/>
    </xf>
    <xf numFmtId="0" fontId="7" fillId="9" borderId="39" xfId="0" applyFont="1" applyFill="1" applyBorder="1"/>
    <xf numFmtId="0" fontId="7" fillId="9" borderId="44" xfId="0" applyFont="1" applyFill="1" applyBorder="1"/>
    <xf numFmtId="0" fontId="2" fillId="2" borderId="0" xfId="1" applyNumberFormat="1" applyFont="1" applyFill="1" applyAlignment="1">
      <alignment horizontal="center"/>
    </xf>
    <xf numFmtId="0" fontId="0" fillId="0" borderId="0" xfId="1" applyNumberFormat="1" applyFont="1"/>
    <xf numFmtId="7" fontId="7" fillId="9" borderId="41" xfId="1" applyNumberFormat="1" applyFont="1" applyFill="1" applyBorder="1" applyAlignment="1">
      <alignment horizontal="right"/>
    </xf>
    <xf numFmtId="44" fontId="7" fillId="9" borderId="60" xfId="1" applyFont="1" applyFill="1" applyBorder="1"/>
    <xf numFmtId="0" fontId="5" fillId="7" borderId="1" xfId="0" applyFont="1" applyFill="1" applyBorder="1"/>
    <xf numFmtId="0" fontId="5" fillId="8" borderId="61" xfId="0" applyFont="1" applyFill="1" applyBorder="1"/>
    <xf numFmtId="0" fontId="4" fillId="0" borderId="0" xfId="2"/>
    <xf numFmtId="7" fontId="7" fillId="9" borderId="42" xfId="1" applyNumberFormat="1" applyFont="1" applyFill="1" applyBorder="1"/>
    <xf numFmtId="7" fontId="7" fillId="9" borderId="47" xfId="1" applyNumberFormat="1" applyFont="1" applyFill="1" applyBorder="1"/>
    <xf numFmtId="22" fontId="7" fillId="9" borderId="33" xfId="0" applyNumberFormat="1" applyFont="1" applyFill="1" applyBorder="1" applyAlignment="1">
      <alignment horizontal="left"/>
    </xf>
    <xf numFmtId="22" fontId="7" fillId="9" borderId="34" xfId="0" applyNumberFormat="1" applyFont="1" applyFill="1" applyBorder="1" applyAlignment="1">
      <alignment horizontal="left"/>
    </xf>
    <xf numFmtId="0" fontId="7" fillId="9" borderId="35" xfId="0" applyFont="1" applyFill="1" applyBorder="1" applyAlignment="1">
      <alignment horizontal="left"/>
    </xf>
    <xf numFmtId="0" fontId="7" fillId="9" borderId="36" xfId="0" applyFont="1" applyFill="1" applyBorder="1" applyAlignment="1">
      <alignment horizontal="left"/>
    </xf>
    <xf numFmtId="0" fontId="14" fillId="10" borderId="22" xfId="0" applyFont="1" applyFill="1" applyBorder="1" applyAlignment="1">
      <alignment horizontal="center"/>
    </xf>
    <xf numFmtId="0" fontId="14" fillId="10" borderId="23" xfId="0" applyFont="1" applyFill="1" applyBorder="1" applyAlignment="1">
      <alignment horizontal="center"/>
    </xf>
    <xf numFmtId="0" fontId="14" fillId="10" borderId="24" xfId="0" applyFont="1" applyFill="1" applyBorder="1" applyAlignment="1">
      <alignment horizontal="center"/>
    </xf>
    <xf numFmtId="0" fontId="7" fillId="9" borderId="25" xfId="0" applyFont="1" applyFill="1" applyBorder="1" applyAlignment="1">
      <alignment horizontal="center"/>
    </xf>
    <xf numFmtId="0" fontId="7" fillId="9" borderId="28" xfId="0" applyFont="1" applyFill="1" applyBorder="1" applyAlignment="1">
      <alignment horizontal="center"/>
    </xf>
    <xf numFmtId="0" fontId="7" fillId="9" borderId="30" xfId="0" applyFont="1" applyFill="1" applyBorder="1" applyAlignment="1">
      <alignment horizontal="center"/>
    </xf>
    <xf numFmtId="0" fontId="8" fillId="9" borderId="26" xfId="0" applyFont="1" applyFill="1" applyBorder="1" applyAlignment="1">
      <alignment horizontal="center"/>
    </xf>
    <xf numFmtId="0" fontId="8" fillId="9" borderId="27" xfId="0" applyFont="1" applyFill="1" applyBorder="1" applyAlignment="1">
      <alignment horizontal="center"/>
    </xf>
    <xf numFmtId="0" fontId="7" fillId="9" borderId="0" xfId="0" applyFont="1" applyFill="1" applyAlignment="1">
      <alignment horizontal="center"/>
    </xf>
    <xf numFmtId="0" fontId="7" fillId="9" borderId="29" xfId="0" applyFont="1" applyFill="1" applyBorder="1" applyAlignment="1">
      <alignment horizontal="center"/>
    </xf>
    <xf numFmtId="0" fontId="7" fillId="9" borderId="31" xfId="0" applyFont="1" applyFill="1" applyBorder="1" applyAlignment="1">
      <alignment horizontal="center"/>
    </xf>
    <xf numFmtId="0" fontId="7" fillId="9" borderId="32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left"/>
    </xf>
    <xf numFmtId="0" fontId="15" fillId="7" borderId="18" xfId="0" applyFont="1" applyFill="1" applyBorder="1" applyAlignment="1">
      <alignment horizontal="left"/>
    </xf>
    <xf numFmtId="0" fontId="15" fillId="7" borderId="21" xfId="0" applyFont="1" applyFill="1" applyBorder="1" applyAlignment="1">
      <alignment horizontal="left"/>
    </xf>
    <xf numFmtId="0" fontId="6" fillId="5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left"/>
    </xf>
    <xf numFmtId="0" fontId="5" fillId="7" borderId="2" xfId="0" applyFont="1" applyFill="1" applyBorder="1" applyAlignment="1">
      <alignment horizontal="left"/>
    </xf>
    <xf numFmtId="0" fontId="5" fillId="7" borderId="3" xfId="0" applyFont="1" applyFill="1" applyBorder="1" applyAlignment="1">
      <alignment horizontal="left"/>
    </xf>
    <xf numFmtId="0" fontId="5" fillId="7" borderId="4" xfId="0" applyFont="1" applyFill="1" applyBorder="1" applyAlignment="1">
      <alignment horizontal="left"/>
    </xf>
    <xf numFmtId="0" fontId="4" fillId="7" borderId="19" xfId="2" applyNumberFormat="1" applyFill="1" applyBorder="1" applyAlignment="1">
      <alignment horizontal="center"/>
    </xf>
    <xf numFmtId="0" fontId="5" fillId="7" borderId="20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0" fontId="5" fillId="8" borderId="4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7" borderId="7" xfId="0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0" fontId="5" fillId="8" borderId="8" xfId="0" applyFont="1" applyFill="1" applyBorder="1" applyAlignment="1">
      <alignment horizontal="left"/>
    </xf>
    <xf numFmtId="0" fontId="3" fillId="3" borderId="0" xfId="0" applyFont="1" applyFill="1" applyAlignment="1">
      <alignment horizontal="center" wrapText="1"/>
    </xf>
    <xf numFmtId="0" fontId="3" fillId="5" borderId="59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16" fillId="10" borderId="0" xfId="0" applyFont="1" applyFill="1" applyAlignment="1">
      <alignment horizontal="left"/>
    </xf>
    <xf numFmtId="0" fontId="0" fillId="10" borderId="0" xfId="0" applyFill="1" applyAlignment="1">
      <alignment horizontal="left"/>
    </xf>
    <xf numFmtId="0" fontId="17" fillId="10" borderId="0" xfId="0" applyFont="1" applyFill="1" applyAlignment="1">
      <alignment horizontal="left"/>
    </xf>
    <xf numFmtId="0" fontId="7" fillId="9" borderId="44" xfId="0" applyFont="1" applyFill="1" applyBorder="1" applyAlignment="1">
      <alignment horizontal="center"/>
    </xf>
    <xf numFmtId="0" fontId="7" fillId="9" borderId="45" xfId="0" applyFont="1" applyFill="1" applyBorder="1" applyAlignment="1">
      <alignment horizontal="center"/>
    </xf>
    <xf numFmtId="0" fontId="7" fillId="9" borderId="49" xfId="0" applyFont="1" applyFill="1" applyBorder="1" applyAlignment="1">
      <alignment horizontal="center"/>
    </xf>
    <xf numFmtId="0" fontId="7" fillId="9" borderId="50" xfId="0" applyFont="1" applyFill="1" applyBorder="1" applyAlignment="1">
      <alignment horizontal="center"/>
    </xf>
    <xf numFmtId="0" fontId="12" fillId="9" borderId="22" xfId="0" applyFont="1" applyFill="1" applyBorder="1" applyAlignment="1">
      <alignment horizontal="center"/>
    </xf>
    <xf numFmtId="0" fontId="12" fillId="9" borderId="23" xfId="0" applyFont="1" applyFill="1" applyBorder="1" applyAlignment="1">
      <alignment horizontal="center"/>
    </xf>
    <xf numFmtId="0" fontId="12" fillId="9" borderId="24" xfId="0" applyFont="1" applyFill="1" applyBorder="1" applyAlignment="1">
      <alignment horizontal="center"/>
    </xf>
    <xf numFmtId="0" fontId="9" fillId="9" borderId="23" xfId="0" applyFont="1" applyFill="1" applyBorder="1" applyAlignment="1">
      <alignment horizontal="center"/>
    </xf>
    <xf numFmtId="0" fontId="9" fillId="9" borderId="24" xfId="0" applyFont="1" applyFill="1" applyBorder="1" applyAlignment="1">
      <alignment horizontal="center"/>
    </xf>
    <xf numFmtId="0" fontId="7" fillId="9" borderId="39" xfId="0" applyFont="1" applyFill="1" applyBorder="1" applyAlignment="1">
      <alignment horizontal="left"/>
    </xf>
    <xf numFmtId="0" fontId="7" fillId="9" borderId="40" xfId="0" applyFont="1" applyFill="1" applyBorder="1" applyAlignment="1">
      <alignment horizontal="left"/>
    </xf>
    <xf numFmtId="0" fontId="7" fillId="9" borderId="22" xfId="0" applyFont="1" applyFill="1" applyBorder="1" applyAlignment="1">
      <alignment horizontal="center"/>
    </xf>
    <xf numFmtId="0" fontId="7" fillId="9" borderId="23" xfId="0" applyFont="1" applyFill="1" applyBorder="1" applyAlignment="1">
      <alignment horizontal="center"/>
    </xf>
    <xf numFmtId="0" fontId="7" fillId="9" borderId="24" xfId="0" applyFont="1" applyFill="1" applyBorder="1" applyAlignment="1">
      <alignment horizontal="center"/>
    </xf>
  </cellXfs>
  <cellStyles count="3">
    <cellStyle name="Currency" xfId="1" builtinId="4"/>
    <cellStyle name="Hyperlink" xfId="2" builtinId="8"/>
    <cellStyle name="Normal" xfId="0" builtinId="0"/>
  </cellStyles>
  <dxfs count="3"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</font>
      <border>
        <top style="hair">
          <color theme="4" tint="-0.499984740745262"/>
        </top>
        <bottom style="hair">
          <color theme="4" tint="-0.499984740745262"/>
        </bottom>
        <vertical/>
        <horizontal/>
      </border>
    </dxf>
    <dxf>
      <font>
        <b/>
        <i val="0"/>
        <color theme="0"/>
      </font>
      <fill>
        <patternFill>
          <bgColor theme="4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467793</xdr:colOff>
      <xdr:row>16</xdr:row>
      <xdr:rowOff>14546</xdr:rowOff>
    </xdr:from>
    <xdr:to>
      <xdr:col>6</xdr:col>
      <xdr:colOff>10524</xdr:colOff>
      <xdr:row>30</xdr:row>
      <xdr:rowOff>161184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F9177C2-0298-4A54-A97D-31DE30D91B35}"/>
            </a:ext>
          </a:extLst>
        </xdr:cNvPr>
        <xdr:cNvGrpSpPr/>
      </xdr:nvGrpSpPr>
      <xdr:grpSpPr>
        <a:xfrm>
          <a:off x="1904481" y="3364171"/>
          <a:ext cx="2424043" cy="2702513"/>
          <a:chOff x="1571625" y="2390775"/>
          <a:chExt cx="1992630" cy="2386965"/>
        </a:xfrm>
        <a:solidFill>
          <a:schemeClr val="accent1">
            <a:lumMod val="60000"/>
            <a:lumOff val="40000"/>
          </a:schemeClr>
        </a:solidFill>
      </xdr:grpSpPr>
      <xdr:sp macro="[0]!EnterNumberBtn" textlink="">
        <xdr:nvSpPr>
          <xdr:cNvPr id="3" name="Butn1">
            <a:extLst>
              <a:ext uri="{FF2B5EF4-FFF2-40B4-BE49-F238E27FC236}">
                <a16:creationId xmlns:a16="http://schemas.microsoft.com/office/drawing/2014/main" id="{8AC03F50-ED8E-2E01-26FA-38C03D9FEEF4}"/>
              </a:ext>
            </a:extLst>
          </xdr:cNvPr>
          <xdr:cNvSpPr/>
        </xdr:nvSpPr>
        <xdr:spPr>
          <a:xfrm>
            <a:off x="1571625" y="2390775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4" name="Butn2">
            <a:extLst>
              <a:ext uri="{FF2B5EF4-FFF2-40B4-BE49-F238E27FC236}">
                <a16:creationId xmlns:a16="http://schemas.microsoft.com/office/drawing/2014/main" id="{D192B875-1296-DE9D-25F0-E436433CF282}"/>
              </a:ext>
            </a:extLst>
          </xdr:cNvPr>
          <xdr:cNvSpPr/>
        </xdr:nvSpPr>
        <xdr:spPr>
          <a:xfrm>
            <a:off x="2247900" y="2390775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5" name="Butn3">
            <a:extLst>
              <a:ext uri="{FF2B5EF4-FFF2-40B4-BE49-F238E27FC236}">
                <a16:creationId xmlns:a16="http://schemas.microsoft.com/office/drawing/2014/main" id="{FCBC6F85-24E8-4F3F-7F35-211FC9F01E48}"/>
              </a:ext>
            </a:extLst>
          </xdr:cNvPr>
          <xdr:cNvSpPr/>
        </xdr:nvSpPr>
        <xdr:spPr>
          <a:xfrm>
            <a:off x="2924175" y="2390775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6" name="Butn4">
            <a:extLst>
              <a:ext uri="{FF2B5EF4-FFF2-40B4-BE49-F238E27FC236}">
                <a16:creationId xmlns:a16="http://schemas.microsoft.com/office/drawing/2014/main" id="{82AE883C-08EB-CBA5-EA9E-A58461BC8B27}"/>
              </a:ext>
            </a:extLst>
          </xdr:cNvPr>
          <xdr:cNvSpPr/>
        </xdr:nvSpPr>
        <xdr:spPr>
          <a:xfrm>
            <a:off x="1571625" y="3003550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7" name="Butn5">
            <a:extLst>
              <a:ext uri="{FF2B5EF4-FFF2-40B4-BE49-F238E27FC236}">
                <a16:creationId xmlns:a16="http://schemas.microsoft.com/office/drawing/2014/main" id="{B501B05C-041C-FC27-CC2F-94EB0371F8EA}"/>
              </a:ext>
            </a:extLst>
          </xdr:cNvPr>
          <xdr:cNvSpPr/>
        </xdr:nvSpPr>
        <xdr:spPr>
          <a:xfrm>
            <a:off x="2247900" y="3003550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8" name="Butn6">
            <a:extLst>
              <a:ext uri="{FF2B5EF4-FFF2-40B4-BE49-F238E27FC236}">
                <a16:creationId xmlns:a16="http://schemas.microsoft.com/office/drawing/2014/main" id="{0E6A54AD-80CA-7497-0EB5-D6A259A42E2D}"/>
              </a:ext>
            </a:extLst>
          </xdr:cNvPr>
          <xdr:cNvSpPr/>
        </xdr:nvSpPr>
        <xdr:spPr>
          <a:xfrm>
            <a:off x="2924175" y="3003550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9" name="Butn7">
            <a:extLst>
              <a:ext uri="{FF2B5EF4-FFF2-40B4-BE49-F238E27FC236}">
                <a16:creationId xmlns:a16="http://schemas.microsoft.com/office/drawing/2014/main" id="{64508E15-D303-7585-142B-1C58ADF7F6D7}"/>
              </a:ext>
            </a:extLst>
          </xdr:cNvPr>
          <xdr:cNvSpPr/>
        </xdr:nvSpPr>
        <xdr:spPr>
          <a:xfrm>
            <a:off x="1571625" y="3616325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0" name="Butn8">
            <a:extLst>
              <a:ext uri="{FF2B5EF4-FFF2-40B4-BE49-F238E27FC236}">
                <a16:creationId xmlns:a16="http://schemas.microsoft.com/office/drawing/2014/main" id="{596043BD-55CA-09F4-9DBF-3C449E1A1D8F}"/>
              </a:ext>
            </a:extLst>
          </xdr:cNvPr>
          <xdr:cNvSpPr/>
        </xdr:nvSpPr>
        <xdr:spPr>
          <a:xfrm>
            <a:off x="2247900" y="3616325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1" name="Butn9">
            <a:extLst>
              <a:ext uri="{FF2B5EF4-FFF2-40B4-BE49-F238E27FC236}">
                <a16:creationId xmlns:a16="http://schemas.microsoft.com/office/drawing/2014/main" id="{89F28653-8596-7F8D-5DD2-5864CA71CFD8}"/>
              </a:ext>
            </a:extLst>
          </xdr:cNvPr>
          <xdr:cNvSpPr/>
        </xdr:nvSpPr>
        <xdr:spPr>
          <a:xfrm>
            <a:off x="2924175" y="3616325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2" name="Butn0">
            <a:extLst>
              <a:ext uri="{FF2B5EF4-FFF2-40B4-BE49-F238E27FC236}">
                <a16:creationId xmlns:a16="http://schemas.microsoft.com/office/drawing/2014/main" id="{5B08E327-99A3-4E51-C788-36EB181A7C1A}"/>
              </a:ext>
            </a:extLst>
          </xdr:cNvPr>
          <xdr:cNvSpPr/>
        </xdr:nvSpPr>
        <xdr:spPr>
          <a:xfrm>
            <a:off x="1571625" y="4229100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ClearItemBtn" textlink="">
        <xdr:nvSpPr>
          <xdr:cNvPr id="13" name="ClearBtn">
            <a:extLst>
              <a:ext uri="{FF2B5EF4-FFF2-40B4-BE49-F238E27FC236}">
                <a16:creationId xmlns:a16="http://schemas.microsoft.com/office/drawing/2014/main" id="{9D5A4EF1-B0FA-DD60-ED2E-480072BCCEF7}"/>
              </a:ext>
            </a:extLst>
          </xdr:cNvPr>
          <xdr:cNvSpPr/>
        </xdr:nvSpPr>
        <xdr:spPr>
          <a:xfrm>
            <a:off x="2247900" y="4229100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i="0" u="sng"/>
              <a:t>CLEAR</a:t>
            </a:r>
          </a:p>
        </xdr:txBody>
      </xdr:sp>
      <xdr:sp macro="[0]!EnterDecimalBtn" textlink="">
        <xdr:nvSpPr>
          <xdr:cNvPr id="14" name="DecimBtn">
            <a:extLst>
              <a:ext uri="{FF2B5EF4-FFF2-40B4-BE49-F238E27FC236}">
                <a16:creationId xmlns:a16="http://schemas.microsoft.com/office/drawing/2014/main" id="{4A3DE099-AA2C-A51E-DA9F-8F76664803F0}"/>
              </a:ext>
            </a:extLst>
          </xdr:cNvPr>
          <xdr:cNvSpPr/>
        </xdr:nvSpPr>
        <xdr:spPr>
          <a:xfrm>
            <a:off x="2924175" y="4229100"/>
            <a:ext cx="640080" cy="548640"/>
          </a:xfrm>
          <a:prstGeom prst="rect">
            <a:avLst/>
          </a:prstGeom>
          <a:grpFill/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7</xdr:col>
      <xdr:colOff>14352</xdr:colOff>
      <xdr:row>16</xdr:row>
      <xdr:rowOff>39954</xdr:rowOff>
    </xdr:from>
    <xdr:to>
      <xdr:col>9</xdr:col>
      <xdr:colOff>625540</xdr:colOff>
      <xdr:row>31</xdr:row>
      <xdr:rowOff>4029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12A585B5-8AFB-4C72-9C31-16E181D846B6}"/>
            </a:ext>
          </a:extLst>
        </xdr:cNvPr>
        <xdr:cNvGrpSpPr/>
      </xdr:nvGrpSpPr>
      <xdr:grpSpPr>
        <a:xfrm>
          <a:off x="4943540" y="3389579"/>
          <a:ext cx="2111375" cy="2702513"/>
          <a:chOff x="4452257" y="2612571"/>
          <a:chExt cx="1485901" cy="2287905"/>
        </a:xfrm>
        <a:solidFill>
          <a:schemeClr val="accent1">
            <a:lumMod val="60000"/>
            <a:lumOff val="40000"/>
          </a:schemeClr>
        </a:solidFill>
      </xdr:grpSpPr>
      <xdr:grpSp>
        <xdr:nvGrpSpPr>
          <xdr:cNvPr id="16" name="Group 15">
            <a:extLst>
              <a:ext uri="{FF2B5EF4-FFF2-40B4-BE49-F238E27FC236}">
                <a16:creationId xmlns:a16="http://schemas.microsoft.com/office/drawing/2014/main" id="{CB4B6932-9313-856D-60C4-BEF089F367F0}"/>
              </a:ext>
            </a:extLst>
          </xdr:cNvPr>
          <xdr:cNvGrpSpPr/>
        </xdr:nvGrpSpPr>
        <xdr:grpSpPr>
          <a:xfrm>
            <a:off x="4452257" y="2612571"/>
            <a:ext cx="457202" cy="525780"/>
            <a:chOff x="3895725" y="2390775"/>
            <a:chExt cx="457200" cy="548640"/>
          </a:xfrm>
          <a:grpFill/>
        </xdr:grpSpPr>
        <xdr:sp macro="[0]!EnterPayType" textlink="">
          <xdr:nvSpPr>
            <xdr:cNvPr id="32" name="Cash">
              <a:extLst>
                <a:ext uri="{FF2B5EF4-FFF2-40B4-BE49-F238E27FC236}">
                  <a16:creationId xmlns:a16="http://schemas.microsoft.com/office/drawing/2014/main" id="{92AA4E82-556D-97FA-DAE2-491B6F303D06}"/>
                </a:ext>
              </a:extLst>
            </xdr:cNvPr>
            <xdr:cNvSpPr/>
          </xdr:nvSpPr>
          <xdr:spPr>
            <a:xfrm>
              <a:off x="3895725" y="2390775"/>
              <a:ext cx="457200" cy="548640"/>
            </a:xfrm>
            <a:prstGeom prst="rect">
              <a:avLst/>
            </a:prstGeom>
            <a:grpFill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33" name="Cash">
              <a:extLst>
                <a:ext uri="{FF2B5EF4-FFF2-40B4-BE49-F238E27FC236}">
                  <a16:creationId xmlns:a16="http://schemas.microsoft.com/office/drawing/2014/main" id="{16929BDD-EEEA-9259-1FCE-0A76BEF3105A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00500" y="2568150"/>
              <a:ext cx="274320" cy="274320"/>
            </a:xfrm>
            <a:prstGeom prst="rect">
              <a:avLst/>
            </a:prstGeom>
            <a:grpFill/>
          </xdr:spPr>
        </xdr:pic>
      </xdr:grpSp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D874D750-5518-1E3A-A3FB-403485347545}"/>
              </a:ext>
            </a:extLst>
          </xdr:cNvPr>
          <xdr:cNvGrpSpPr/>
        </xdr:nvGrpSpPr>
        <xdr:grpSpPr>
          <a:xfrm>
            <a:off x="4952320" y="2612571"/>
            <a:ext cx="457200" cy="525780"/>
            <a:chOff x="4395787" y="2390775"/>
            <a:chExt cx="457200" cy="548640"/>
          </a:xfrm>
          <a:grpFill/>
        </xdr:grpSpPr>
        <xdr:sp macro="[0]!EnterPayType" textlink="">
          <xdr:nvSpPr>
            <xdr:cNvPr id="30" name="Card">
              <a:extLst>
                <a:ext uri="{FF2B5EF4-FFF2-40B4-BE49-F238E27FC236}">
                  <a16:creationId xmlns:a16="http://schemas.microsoft.com/office/drawing/2014/main" id="{A8736A4A-3F18-BDD7-4E2A-4706D974FC31}"/>
                </a:ext>
              </a:extLst>
            </xdr:cNvPr>
            <xdr:cNvSpPr/>
          </xdr:nvSpPr>
          <xdr:spPr>
            <a:xfrm>
              <a:off x="4395787" y="2390775"/>
              <a:ext cx="457200" cy="548640"/>
            </a:xfrm>
            <a:prstGeom prst="rect">
              <a:avLst/>
            </a:prstGeom>
            <a:grpFill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31" name="Card">
              <a:extLst>
                <a:ext uri="{FF2B5EF4-FFF2-40B4-BE49-F238E27FC236}">
                  <a16:creationId xmlns:a16="http://schemas.microsoft.com/office/drawing/2014/main" id="{1ACE1FDB-8979-1640-D921-64B861304DD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434136" y="2568150"/>
              <a:ext cx="364273" cy="274320"/>
            </a:xfrm>
            <a:prstGeom prst="rect">
              <a:avLst/>
            </a:prstGeom>
            <a:grpFill/>
          </xdr:spPr>
        </xdr:pic>
      </xdr:grpSp>
      <xdr:grpSp>
        <xdr:nvGrpSpPr>
          <xdr:cNvPr id="18" name="Group 17">
            <a:extLst>
              <a:ext uri="{FF2B5EF4-FFF2-40B4-BE49-F238E27FC236}">
                <a16:creationId xmlns:a16="http://schemas.microsoft.com/office/drawing/2014/main" id="{1ACC7D82-1BF8-BF0B-8A65-4DCA106C6308}"/>
              </a:ext>
            </a:extLst>
          </xdr:cNvPr>
          <xdr:cNvGrpSpPr/>
        </xdr:nvGrpSpPr>
        <xdr:grpSpPr>
          <a:xfrm>
            <a:off x="5452382" y="2612571"/>
            <a:ext cx="457199" cy="525780"/>
            <a:chOff x="4905375" y="2390775"/>
            <a:chExt cx="457200" cy="548640"/>
          </a:xfrm>
          <a:grpFill/>
        </xdr:grpSpPr>
        <xdr:sp macro="[0]!EnterPayType" textlink="">
          <xdr:nvSpPr>
            <xdr:cNvPr id="28" name="Check">
              <a:extLst>
                <a:ext uri="{FF2B5EF4-FFF2-40B4-BE49-F238E27FC236}">
                  <a16:creationId xmlns:a16="http://schemas.microsoft.com/office/drawing/2014/main" id="{27F9BB97-7927-F2D5-C120-33AC05A85BEB}"/>
                </a:ext>
              </a:extLst>
            </xdr:cNvPr>
            <xdr:cNvSpPr/>
          </xdr:nvSpPr>
          <xdr:spPr>
            <a:xfrm>
              <a:off x="4905375" y="2390775"/>
              <a:ext cx="457200" cy="548640"/>
            </a:xfrm>
            <a:prstGeom prst="rect">
              <a:avLst/>
            </a:prstGeom>
            <a:grpFill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3200"/>
            </a:p>
          </xdr:txBody>
        </xdr:sp>
        <xdr:pic macro="[0]!EnterPayType">
          <xdr:nvPicPr>
            <xdr:cNvPr id="29" name="Check">
              <a:extLst>
                <a:ext uri="{FF2B5EF4-FFF2-40B4-BE49-F238E27FC236}">
                  <a16:creationId xmlns:a16="http://schemas.microsoft.com/office/drawing/2014/main" id="{30F01966-39FA-7102-124D-E76F6A96B0F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986300" y="2568150"/>
              <a:ext cx="274320" cy="274320"/>
            </a:xfrm>
            <a:prstGeom prst="rect">
              <a:avLst/>
            </a:prstGeom>
            <a:grpFill/>
          </xdr:spPr>
        </xdr:pic>
      </xdr:grpSp>
      <xdr:grpSp>
        <xdr:nvGrpSpPr>
          <xdr:cNvPr id="19" name="PaymentBtn">
            <a:extLst>
              <a:ext uri="{FF2B5EF4-FFF2-40B4-BE49-F238E27FC236}">
                <a16:creationId xmlns:a16="http://schemas.microsoft.com/office/drawing/2014/main" id="{C3EE8EBC-A3AC-1F0B-AD82-34B41685A9EB}"/>
              </a:ext>
            </a:extLst>
          </xdr:cNvPr>
          <xdr:cNvGrpSpPr/>
        </xdr:nvGrpSpPr>
        <xdr:grpSpPr>
          <a:xfrm>
            <a:off x="4452257" y="3202486"/>
            <a:ext cx="1466851" cy="525780"/>
            <a:chOff x="3933825" y="3060700"/>
            <a:chExt cx="1466850" cy="548640"/>
          </a:xfrm>
          <a:grpFill/>
        </xdr:grpSpPr>
        <xdr:sp macro="[0]!EnterPaymentCell" textlink="">
          <xdr:nvSpPr>
            <xdr:cNvPr id="26" name="Payment">
              <a:extLst>
                <a:ext uri="{FF2B5EF4-FFF2-40B4-BE49-F238E27FC236}">
                  <a16:creationId xmlns:a16="http://schemas.microsoft.com/office/drawing/2014/main" id="{FD0345AB-5B92-D7FB-CF68-3C168300F9B9}"/>
                </a:ext>
              </a:extLst>
            </xdr:cNvPr>
            <xdr:cNvSpPr/>
          </xdr:nvSpPr>
          <xdr:spPr>
            <a:xfrm>
              <a:off x="3933825" y="3060700"/>
              <a:ext cx="1466850" cy="548640"/>
            </a:xfrm>
            <a:prstGeom prst="rect">
              <a:avLst/>
            </a:prstGeom>
            <a:grpFill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r>
                <a:rPr lang="en-US" sz="2800"/>
                <a:t>PAYMENT</a:t>
              </a:r>
              <a:endParaRPr lang="en-US" sz="2400"/>
            </a:p>
          </xdr:txBody>
        </xdr:sp>
        <xdr:pic>
          <xdr:nvPicPr>
            <xdr:cNvPr id="27" name="Picture 26">
              <a:extLst>
                <a:ext uri="{FF2B5EF4-FFF2-40B4-BE49-F238E27FC236}">
                  <a16:creationId xmlns:a16="http://schemas.microsoft.com/office/drawing/2014/main" id="{0ABEBC8F-5939-D8C6-59EB-CC0DAEB47DC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981375" y="3197860"/>
              <a:ext cx="274320" cy="274320"/>
            </a:xfrm>
            <a:prstGeom prst="rect">
              <a:avLst/>
            </a:prstGeom>
            <a:grpFill/>
          </xdr:spPr>
        </xdr:pic>
      </xdr:grpSp>
      <xdr:grpSp>
        <xdr:nvGrpSpPr>
          <xdr:cNvPr id="20" name="NextBtn">
            <a:extLst>
              <a:ext uri="{FF2B5EF4-FFF2-40B4-BE49-F238E27FC236}">
                <a16:creationId xmlns:a16="http://schemas.microsoft.com/office/drawing/2014/main" id="{F5E6CE75-FD2A-944E-A31E-973A6B4D23C3}"/>
              </a:ext>
            </a:extLst>
          </xdr:cNvPr>
          <xdr:cNvGrpSpPr/>
        </xdr:nvGrpSpPr>
        <xdr:grpSpPr>
          <a:xfrm>
            <a:off x="4471307" y="4374696"/>
            <a:ext cx="1466851" cy="525780"/>
            <a:chOff x="3933825" y="4229100"/>
            <a:chExt cx="1466850" cy="548640"/>
          </a:xfrm>
          <a:grpFill/>
        </xdr:grpSpPr>
        <xdr:sp macro="[0]!SaveAndClear" textlink="">
          <xdr:nvSpPr>
            <xdr:cNvPr id="24" name="Next">
              <a:extLst>
                <a:ext uri="{FF2B5EF4-FFF2-40B4-BE49-F238E27FC236}">
                  <a16:creationId xmlns:a16="http://schemas.microsoft.com/office/drawing/2014/main" id="{B6AC15E0-0ADA-8FF1-22A0-E47C1A983E01}"/>
                </a:ext>
              </a:extLst>
            </xdr:cNvPr>
            <xdr:cNvSpPr/>
          </xdr:nvSpPr>
          <xdr:spPr>
            <a:xfrm>
              <a:off x="3933825" y="4229100"/>
              <a:ext cx="1466850" cy="548640"/>
            </a:xfrm>
            <a:prstGeom prst="rect">
              <a:avLst/>
            </a:prstGeom>
            <a:grpFill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800"/>
                <a:t>    NEXT</a:t>
              </a:r>
            </a:p>
          </xdr:txBody>
        </xdr:sp>
        <xdr:pic>
          <xdr:nvPicPr>
            <xdr:cNvPr id="25" name="Picture 24">
              <a:extLst>
                <a:ext uri="{FF2B5EF4-FFF2-40B4-BE49-F238E27FC236}">
                  <a16:creationId xmlns:a16="http://schemas.microsoft.com/office/drawing/2014/main" id="{79F2D9EE-C68C-CC62-63C6-690093FA79C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69500" y="4364775"/>
              <a:ext cx="274320" cy="274320"/>
            </a:xfrm>
            <a:prstGeom prst="rect">
              <a:avLst/>
            </a:prstGeom>
            <a:grpFill/>
          </xdr:spPr>
        </xdr:pic>
      </xdr:grpSp>
      <xdr:grpSp>
        <xdr:nvGrpSpPr>
          <xdr:cNvPr id="21" name="PrintBtn">
            <a:extLst>
              <a:ext uri="{FF2B5EF4-FFF2-40B4-BE49-F238E27FC236}">
                <a16:creationId xmlns:a16="http://schemas.microsoft.com/office/drawing/2014/main" id="{8C80B9D4-AA25-0160-CB87-709C148690B5}"/>
              </a:ext>
            </a:extLst>
          </xdr:cNvPr>
          <xdr:cNvGrpSpPr/>
        </xdr:nvGrpSpPr>
        <xdr:grpSpPr>
          <a:xfrm>
            <a:off x="4461782" y="3784781"/>
            <a:ext cx="1466851" cy="525780"/>
            <a:chOff x="3933825" y="3632200"/>
            <a:chExt cx="1466850" cy="548640"/>
          </a:xfrm>
          <a:grpFill/>
        </xdr:grpSpPr>
        <xdr:sp macro="[0]!PrintReceipt" textlink="">
          <xdr:nvSpPr>
            <xdr:cNvPr id="22" name="Print">
              <a:extLst>
                <a:ext uri="{FF2B5EF4-FFF2-40B4-BE49-F238E27FC236}">
                  <a16:creationId xmlns:a16="http://schemas.microsoft.com/office/drawing/2014/main" id="{82F5EA47-9E17-DD17-C8D5-FE3293FD6AC4}"/>
                </a:ext>
              </a:extLst>
            </xdr:cNvPr>
            <xdr:cNvSpPr/>
          </xdr:nvSpPr>
          <xdr:spPr>
            <a:xfrm>
              <a:off x="3933825" y="3632200"/>
              <a:ext cx="1466850" cy="548640"/>
            </a:xfrm>
            <a:prstGeom prst="rect">
              <a:avLst/>
            </a:prstGeom>
            <a:grpFill/>
          </xdr:spPr>
          <xdr:style>
            <a:lnRef idx="1">
              <a:schemeClr val="accent5"/>
            </a:lnRef>
            <a:fillRef idx="2">
              <a:schemeClr val="accent5"/>
            </a:fillRef>
            <a:effectRef idx="1">
              <a:schemeClr val="accent5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800"/>
                <a:t>      PRINT </a:t>
              </a:r>
            </a:p>
          </xdr:txBody>
        </xdr:sp>
        <xdr:pic>
          <xdr:nvPicPr>
            <xdr:cNvPr id="23" name="Picture 22">
              <a:extLst>
                <a:ext uri="{FF2B5EF4-FFF2-40B4-BE49-F238E27FC236}">
                  <a16:creationId xmlns:a16="http://schemas.microsoft.com/office/drawing/2014/main" id="{C51BA83A-824C-D78F-79E9-B9D035B97C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52775" y="3769360"/>
              <a:ext cx="274320" cy="274320"/>
            </a:xfrm>
            <a:prstGeom prst="rect">
              <a:avLst/>
            </a:prstGeom>
            <a:grpFill/>
          </xdr:spPr>
        </xdr:pic>
      </xdr:grpSp>
    </xdr:grpSp>
    <xdr:clientData/>
  </xdr:twoCellAnchor>
  <xdr:oneCellAnchor>
    <xdr:from>
      <xdr:col>11</xdr:col>
      <xdr:colOff>83820</xdr:colOff>
      <xdr:row>1</xdr:row>
      <xdr:rowOff>60960</xdr:rowOff>
    </xdr:from>
    <xdr:ext cx="880901" cy="893895"/>
    <xdr:pic>
      <xdr:nvPicPr>
        <xdr:cNvPr id="34" name="Picture 33">
          <a:extLst>
            <a:ext uri="{FF2B5EF4-FFF2-40B4-BE49-F238E27FC236}">
              <a16:creationId xmlns:a16="http://schemas.microsoft.com/office/drawing/2014/main" id="{51114D69-A04F-407A-8AA3-BF362AC6B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3160" y="281940"/>
          <a:ext cx="880901" cy="893895"/>
        </a:xfrm>
        <a:prstGeom prst="rect">
          <a:avLst/>
        </a:prstGeom>
      </xdr:spPr>
    </xdr:pic>
    <xdr:clientData/>
  </xdr:oneCellAnchor>
  <xdr:twoCellAnchor editAs="oneCell">
    <xdr:from>
      <xdr:col>11</xdr:col>
      <xdr:colOff>0</xdr:colOff>
      <xdr:row>21</xdr:row>
      <xdr:rowOff>0</xdr:rowOff>
    </xdr:from>
    <xdr:to>
      <xdr:col>17</xdr:col>
      <xdr:colOff>14289</xdr:colOff>
      <xdr:row>22</xdr:row>
      <xdr:rowOff>0</xdr:rowOff>
    </xdr:to>
    <xdr:sp macro="" textlink="">
      <xdr:nvSpPr>
        <xdr:cNvPr id="35" name="FooterGrup" hidden="1">
          <a:extLst>
            <a:ext uri="{FF2B5EF4-FFF2-40B4-BE49-F238E27FC236}">
              <a16:creationId xmlns:a16="http://schemas.microsoft.com/office/drawing/2014/main" id="{E3912F5D-4F53-ED8D-8730-422FF8577778}"/>
            </a:ext>
          </a:extLst>
        </xdr:cNvPr>
        <xdr:cNvSpPr/>
      </xdr:nvSpPr>
      <xdr:spPr>
        <a:xfrm>
          <a:off x="7780020" y="4267200"/>
          <a:ext cx="5995989" cy="18288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i="1">
              <a:latin typeface="Amasis MT Pro Black" panose="020F0502020204030204" pitchFamily="18" charset="0"/>
            </a:rPr>
            <a:t>Thank You for Shopping!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617220</xdr:colOff>
          <xdr:row>12</xdr:row>
          <xdr:rowOff>228600</xdr:rowOff>
        </xdr:from>
        <xdr:to>
          <xdr:col>4</xdr:col>
          <xdr:colOff>899160</xdr:colOff>
          <xdr:row>14</xdr:row>
          <xdr:rowOff>7620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3366"/>
                  </a:solidFill>
                  <a:latin typeface="Calibri"/>
                  <a:ea typeface="Calibri"/>
                  <a:cs typeface="Calibri"/>
                </a:rPr>
                <a:t>Fetch Invoice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</xdr:colOff>
          <xdr:row>14</xdr:row>
          <xdr:rowOff>91440</xdr:rowOff>
        </xdr:from>
        <xdr:to>
          <xdr:col>4</xdr:col>
          <xdr:colOff>723900</xdr:colOff>
          <xdr:row>15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Clear Invoice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83820</xdr:colOff>
      <xdr:row>1</xdr:row>
      <xdr:rowOff>60960</xdr:rowOff>
    </xdr:from>
    <xdr:ext cx="880901" cy="893895"/>
    <xdr:pic>
      <xdr:nvPicPr>
        <xdr:cNvPr id="2" name="Picture 1">
          <a:extLst>
            <a:ext uri="{FF2B5EF4-FFF2-40B4-BE49-F238E27FC236}">
              <a16:creationId xmlns:a16="http://schemas.microsoft.com/office/drawing/2014/main" id="{77E75AE4-3565-4492-ACAE-E97623BAF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46720" y="266700"/>
          <a:ext cx="880901" cy="893895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cuments\Book1%20(1).xlsm" TargetMode="External"/><Relationship Id="rId1" Type="http://schemas.openxmlformats.org/officeDocument/2006/relationships/externalLinkPath" Target="/Users/User/Documents/Book1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OS"/>
      <sheetName val="Invoice"/>
      <sheetName val="Sales"/>
      <sheetName val="Items"/>
    </sheetNames>
    <sheetDataSet>
      <sheetData sheetId="0"/>
      <sheetData sheetId="1"/>
      <sheetData sheetId="2">
        <row r="2">
          <cell r="A2" t="str">
            <v>Receipt No.</v>
          </cell>
        </row>
      </sheetData>
      <sheetData sheetId="3">
        <row r="2">
          <cell r="A2" t="str">
            <v>Item ID</v>
          </cell>
          <cell r="B2" t="str">
            <v>Item Name</v>
          </cell>
          <cell r="C2" t="str">
            <v>Item Description</v>
          </cell>
        </row>
        <row r="3">
          <cell r="A3">
            <v>1001</v>
          </cell>
          <cell r="B3" t="str">
            <v>Apple</v>
          </cell>
          <cell r="C3" t="str">
            <v>Granny Smiths from Yakima, WA</v>
          </cell>
        </row>
        <row r="4">
          <cell r="A4">
            <v>1002</v>
          </cell>
          <cell r="B4" t="str">
            <v>Banana</v>
          </cell>
          <cell r="C4" t="str">
            <v>Bananas from Ecuador</v>
          </cell>
        </row>
        <row r="5">
          <cell r="A5">
            <v>1003</v>
          </cell>
          <cell r="B5" t="str">
            <v>Cherry</v>
          </cell>
          <cell r="C5" t="str">
            <v>Bings from Columbia Gorge, OR</v>
          </cell>
        </row>
        <row r="6">
          <cell r="A6">
            <v>1004</v>
          </cell>
          <cell r="B6" t="str">
            <v>Grapes</v>
          </cell>
          <cell r="C6" t="str">
            <v>Grapes from Coachella Valley, CA</v>
          </cell>
        </row>
        <row r="7">
          <cell r="A7">
            <v>1005</v>
          </cell>
          <cell r="B7" t="str">
            <v>Orange</v>
          </cell>
          <cell r="C7" t="str">
            <v>Navals from Santa Paula, CA</v>
          </cell>
        </row>
        <row r="8">
          <cell r="A8">
            <v>1006</v>
          </cell>
          <cell r="B8" t="str">
            <v>Peach</v>
          </cell>
          <cell r="C8" t="str">
            <v>Clings from San Joaquin Valley, CA</v>
          </cell>
        </row>
        <row r="9">
          <cell r="A9">
            <v>1007</v>
          </cell>
          <cell r="B9" t="str">
            <v>Plum</v>
          </cell>
          <cell r="C9" t="str">
            <v>Plums from El Dorado, CA</v>
          </cell>
        </row>
        <row r="10">
          <cell r="A10">
            <v>1008</v>
          </cell>
          <cell r="B10" t="str">
            <v>Raspberry</v>
          </cell>
          <cell r="C10" t="str">
            <v>Raspberries from Woodland, WA</v>
          </cell>
        </row>
        <row r="11">
          <cell r="A11">
            <v>1009</v>
          </cell>
          <cell r="B11" t="str">
            <v>Strawberry</v>
          </cell>
          <cell r="C11" t="str">
            <v>Hand picked from Santa Maria, CA</v>
          </cell>
        </row>
        <row r="12">
          <cell r="A12">
            <v>1010</v>
          </cell>
          <cell r="B12" t="str">
            <v>Raisins</v>
          </cell>
          <cell r="C12" t="str">
            <v>California Raisins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36"/>
  <sheetViews>
    <sheetView zoomScale="96" workbookViewId="0">
      <selection activeCell="B19" sqref="B19"/>
    </sheetView>
  </sheetViews>
  <sheetFormatPr defaultRowHeight="14.4" x14ac:dyDescent="0.3"/>
  <cols>
    <col min="1" max="1" width="15" customWidth="1"/>
    <col min="2" max="2" width="5.88671875" customWidth="1"/>
    <col min="3" max="3" width="6.88671875" customWidth="1"/>
    <col min="4" max="4" width="11.88671875" customWidth="1"/>
    <col min="5" max="5" width="10.6640625" customWidth="1"/>
    <col min="6" max="6" width="12.44140625" customWidth="1"/>
    <col min="9" max="9" width="13" customWidth="1"/>
    <col min="10" max="10" width="11" customWidth="1"/>
    <col min="12" max="12" width="8.88671875" style="11"/>
    <col min="13" max="13" width="37.44140625" customWidth="1"/>
    <col min="14" max="14" width="8.44140625" customWidth="1"/>
    <col min="15" max="15" width="8.88671875" style="68"/>
    <col min="16" max="16" width="10.44140625" style="65" customWidth="1"/>
    <col min="17" max="17" width="13.109375" style="65" customWidth="1"/>
    <col min="19" max="19" width="11.88671875" customWidth="1"/>
    <col min="20" max="20" width="12.88671875" customWidth="1"/>
    <col min="23" max="23" width="11.44140625" customWidth="1"/>
  </cols>
  <sheetData>
    <row r="1" spans="1:22" ht="16.2" customHeight="1" x14ac:dyDescent="0.3">
      <c r="A1" s="3"/>
      <c r="B1" s="3"/>
      <c r="C1" s="149"/>
      <c r="D1" s="149"/>
      <c r="E1" s="149"/>
      <c r="F1" s="149"/>
      <c r="G1" s="149"/>
      <c r="H1" s="149"/>
      <c r="I1" s="149"/>
      <c r="J1" s="149"/>
      <c r="K1" s="149"/>
      <c r="L1" s="134" t="s">
        <v>46</v>
      </c>
      <c r="M1" s="135"/>
      <c r="N1" s="135"/>
      <c r="O1" s="135"/>
      <c r="P1" s="135"/>
      <c r="Q1" s="136"/>
    </row>
    <row r="2" spans="1:22" ht="46.2" x14ac:dyDescent="0.8">
      <c r="A2" s="3"/>
      <c r="B2" s="3"/>
      <c r="C2" s="149" t="s">
        <v>27</v>
      </c>
      <c r="D2" s="149"/>
      <c r="E2" s="149"/>
      <c r="F2" s="149"/>
      <c r="G2" s="149"/>
      <c r="H2" s="149"/>
      <c r="I2" s="149"/>
      <c r="J2" s="149"/>
      <c r="K2" s="149"/>
      <c r="L2" s="137"/>
      <c r="M2" s="140" t="s">
        <v>47</v>
      </c>
      <c r="N2" s="140"/>
      <c r="O2" s="140"/>
      <c r="P2" s="140"/>
      <c r="Q2" s="141"/>
    </row>
    <row r="3" spans="1:22" x14ac:dyDescent="0.3">
      <c r="A3" s="3"/>
      <c r="B3" s="3"/>
      <c r="C3" s="8"/>
      <c r="D3" s="9" t="s">
        <v>28</v>
      </c>
      <c r="E3" s="156" t="s">
        <v>71</v>
      </c>
      <c r="F3" s="157"/>
      <c r="G3" s="8"/>
      <c r="H3" s="15" t="s">
        <v>30</v>
      </c>
      <c r="I3" s="16">
        <f>SUMIF(M13:M999,"&lt;&gt;", Q13:Q999)</f>
        <v>0</v>
      </c>
      <c r="J3" s="8"/>
      <c r="K3" s="12"/>
      <c r="L3" s="138"/>
      <c r="M3" s="142" t="s">
        <v>59</v>
      </c>
      <c r="N3" s="142"/>
      <c r="O3" s="142"/>
      <c r="P3" s="142"/>
      <c r="Q3" s="143"/>
      <c r="V3" t="s">
        <v>122</v>
      </c>
    </row>
    <row r="4" spans="1:22" x14ac:dyDescent="0.3">
      <c r="A4" s="6" t="s">
        <v>29</v>
      </c>
      <c r="B4" s="6" t="b">
        <v>0</v>
      </c>
      <c r="C4" s="8"/>
      <c r="D4" s="158" t="str">
        <f ca="1">IFERROR(INDEX(item_desc, MATCH(E3, item_name, 0),1), "")</f>
        <v>Delhi Ashish</v>
      </c>
      <c r="E4" s="158"/>
      <c r="F4" s="158"/>
      <c r="G4" s="8"/>
      <c r="H4" s="17" t="s">
        <v>32</v>
      </c>
      <c r="I4" s="18">
        <f>I3*0.1</f>
        <v>0</v>
      </c>
      <c r="J4" s="8"/>
      <c r="K4" s="12"/>
      <c r="L4" s="138"/>
      <c r="M4" s="142" t="s">
        <v>60</v>
      </c>
      <c r="N4" s="142"/>
      <c r="O4" s="142"/>
      <c r="P4" s="142"/>
      <c r="Q4" s="143"/>
      <c r="R4" s="91"/>
      <c r="S4" s="92" t="s">
        <v>30</v>
      </c>
      <c r="T4" s="93">
        <f>I3</f>
        <v>0</v>
      </c>
      <c r="V4" t="s">
        <v>123</v>
      </c>
    </row>
    <row r="5" spans="1:22" x14ac:dyDescent="0.3">
      <c r="A5" s="6" t="s">
        <v>31</v>
      </c>
      <c r="B5" s="7" t="str">
        <f ca="1">IFERROR(MATCH(E10, item_id, 0)+1, "")</f>
        <v/>
      </c>
      <c r="C5" s="8"/>
      <c r="D5" s="8"/>
      <c r="E5" s="8"/>
      <c r="F5" s="8"/>
      <c r="G5" s="8"/>
      <c r="H5" s="17" t="s">
        <v>35</v>
      </c>
      <c r="I5" s="18">
        <f>I3 + I4</f>
        <v>0</v>
      </c>
      <c r="J5" s="8"/>
      <c r="K5" s="12"/>
      <c r="L5" s="139"/>
      <c r="M5" s="26"/>
      <c r="N5" s="26"/>
      <c r="O5" s="27"/>
      <c r="P5" s="144"/>
      <c r="Q5" s="145"/>
      <c r="R5" s="91"/>
      <c r="S5" s="92" t="s">
        <v>32</v>
      </c>
      <c r="T5" s="93">
        <f>I4</f>
        <v>0</v>
      </c>
      <c r="V5" t="s">
        <v>124</v>
      </c>
    </row>
    <row r="6" spans="1:22" x14ac:dyDescent="0.3">
      <c r="A6" s="6" t="s">
        <v>33</v>
      </c>
      <c r="B6" s="6">
        <v>13</v>
      </c>
      <c r="C6" s="8"/>
      <c r="D6" s="8"/>
      <c r="E6" s="10" t="s">
        <v>34</v>
      </c>
      <c r="F6" s="4">
        <v>14.99</v>
      </c>
      <c r="G6" s="8"/>
      <c r="H6" s="17" t="s">
        <v>37</v>
      </c>
      <c r="I6" s="19" t="s">
        <v>64</v>
      </c>
      <c r="J6" s="8"/>
      <c r="K6" s="12"/>
      <c r="L6" s="28"/>
      <c r="M6" s="29"/>
      <c r="N6" s="29"/>
      <c r="O6" s="29"/>
      <c r="P6" s="101"/>
      <c r="Q6" s="30"/>
      <c r="R6" s="91"/>
      <c r="S6" s="92" t="s">
        <v>35</v>
      </c>
      <c r="T6" s="93">
        <f>I5</f>
        <v>0</v>
      </c>
      <c r="V6" t="s">
        <v>125</v>
      </c>
    </row>
    <row r="7" spans="1:22" x14ac:dyDescent="0.3">
      <c r="A7" s="6" t="s">
        <v>36</v>
      </c>
      <c r="B7" s="6">
        <f ca="1">IF(MAX(rec_number)=0, 100, MAX(rec_number) + 1)</f>
        <v>100</v>
      </c>
      <c r="C7" s="8"/>
      <c r="D7" s="8"/>
      <c r="E7" s="8"/>
      <c r="F7" s="8"/>
      <c r="G7" s="8"/>
      <c r="H7" s="20" t="s">
        <v>40</v>
      </c>
      <c r="I7" s="21"/>
      <c r="J7" s="8"/>
      <c r="K7" s="12"/>
      <c r="L7" s="31" t="s">
        <v>48</v>
      </c>
      <c r="M7" s="32"/>
      <c r="N7" s="32"/>
      <c r="O7" s="34" t="s">
        <v>49</v>
      </c>
      <c r="P7" s="130">
        <f ca="1">NOW()</f>
        <v>45739.724703472224</v>
      </c>
      <c r="Q7" s="131"/>
      <c r="R7" s="91"/>
      <c r="S7" s="94" t="s">
        <v>57</v>
      </c>
      <c r="T7" s="95">
        <v>70</v>
      </c>
      <c r="V7" t="s">
        <v>126</v>
      </c>
    </row>
    <row r="8" spans="1:22" x14ac:dyDescent="0.3">
      <c r="A8" s="6" t="s">
        <v>38</v>
      </c>
      <c r="B8" s="6">
        <v>2</v>
      </c>
      <c r="C8" s="8"/>
      <c r="D8" s="8"/>
      <c r="E8" s="10" t="s">
        <v>39</v>
      </c>
      <c r="F8" s="5">
        <v>1</v>
      </c>
      <c r="G8" s="8"/>
      <c r="H8" s="22" t="s">
        <v>41</v>
      </c>
      <c r="I8" s="23">
        <f>I7-I5</f>
        <v>0</v>
      </c>
      <c r="J8" s="8"/>
      <c r="K8" s="12"/>
      <c r="L8" s="35" t="s">
        <v>50</v>
      </c>
      <c r="M8" s="55"/>
      <c r="N8" s="118"/>
      <c r="O8" s="34" t="s">
        <v>51</v>
      </c>
      <c r="P8" s="132">
        <v>102</v>
      </c>
      <c r="Q8" s="133"/>
      <c r="R8" s="91"/>
      <c r="S8" s="92" t="s">
        <v>41</v>
      </c>
      <c r="T8" s="93">
        <f>I8</f>
        <v>0</v>
      </c>
      <c r="V8" t="s">
        <v>127</v>
      </c>
    </row>
    <row r="9" spans="1:22" x14ac:dyDescent="0.3">
      <c r="A9" s="3"/>
      <c r="B9" s="3"/>
      <c r="C9" s="8"/>
      <c r="D9" s="8"/>
      <c r="E9" s="8"/>
      <c r="F9" s="8"/>
      <c r="G9" s="8"/>
      <c r="H9" s="13"/>
      <c r="I9" s="14"/>
      <c r="J9" s="8"/>
      <c r="K9" s="12"/>
      <c r="L9" s="35" t="s">
        <v>44</v>
      </c>
      <c r="M9" s="36"/>
      <c r="N9" s="118"/>
      <c r="O9" s="34" t="s">
        <v>52</v>
      </c>
      <c r="P9" s="132" t="str">
        <f>I6</f>
        <v>Cash</v>
      </c>
      <c r="Q9" s="133"/>
      <c r="V9" t="s">
        <v>128</v>
      </c>
    </row>
    <row r="10" spans="1:22" x14ac:dyDescent="0.3">
      <c r="A10" s="3"/>
      <c r="B10" s="3"/>
      <c r="C10" s="8"/>
      <c r="D10" s="10" t="s">
        <v>42</v>
      </c>
      <c r="E10" s="159"/>
      <c r="F10" s="160"/>
      <c r="G10" s="8"/>
      <c r="H10" s="150" t="s">
        <v>43</v>
      </c>
      <c r="I10" s="150"/>
      <c r="J10" s="150"/>
      <c r="K10" s="12"/>
      <c r="L10" s="35" t="s">
        <v>45</v>
      </c>
      <c r="M10" s="36"/>
      <c r="N10" s="118"/>
      <c r="O10" s="34" t="s">
        <v>53</v>
      </c>
      <c r="P10" s="132"/>
      <c r="Q10" s="133"/>
      <c r="V10" t="s">
        <v>129</v>
      </c>
    </row>
    <row r="11" spans="1:22" x14ac:dyDescent="0.3">
      <c r="A11" s="3"/>
      <c r="B11" s="3"/>
      <c r="C11" s="8"/>
      <c r="D11" s="8"/>
      <c r="E11" s="8"/>
      <c r="F11" s="8"/>
      <c r="G11" s="8"/>
      <c r="H11" s="151"/>
      <c r="I11" s="152"/>
      <c r="J11" s="153"/>
      <c r="K11" s="12"/>
      <c r="L11" s="37"/>
      <c r="M11" s="27"/>
      <c r="N11" s="27"/>
      <c r="O11" s="38"/>
      <c r="P11" s="102"/>
      <c r="Q11" s="39"/>
    </row>
    <row r="12" spans="1:22" x14ac:dyDescent="0.3">
      <c r="A12" s="3"/>
      <c r="B12" s="3"/>
      <c r="C12" s="8"/>
      <c r="D12" s="161" t="s">
        <v>53</v>
      </c>
      <c r="E12" s="161"/>
      <c r="F12" s="161"/>
      <c r="G12" s="8"/>
      <c r="H12" s="150"/>
      <c r="I12" s="150"/>
      <c r="J12" s="150"/>
      <c r="K12" s="12"/>
      <c r="L12" s="40" t="s">
        <v>54</v>
      </c>
      <c r="M12" s="113" t="s">
        <v>161</v>
      </c>
      <c r="N12" s="113"/>
      <c r="O12" s="40" t="s">
        <v>5</v>
      </c>
      <c r="P12" s="103" t="s">
        <v>56</v>
      </c>
      <c r="Q12" s="40" t="s">
        <v>6</v>
      </c>
    </row>
    <row r="13" spans="1:22" x14ac:dyDescent="0.3">
      <c r="A13" s="3"/>
      <c r="B13" s="3"/>
      <c r="C13" s="8"/>
      <c r="D13" s="146"/>
      <c r="E13" s="146"/>
      <c r="F13" s="146"/>
      <c r="G13" s="8"/>
      <c r="H13" s="24" t="s">
        <v>44</v>
      </c>
      <c r="I13" s="154"/>
      <c r="J13" s="155"/>
      <c r="K13" s="71"/>
      <c r="L13" s="69"/>
      <c r="M13" s="112"/>
      <c r="N13" s="119"/>
      <c r="O13" s="66"/>
      <c r="P13" s="123"/>
      <c r="Q13" s="128"/>
    </row>
    <row r="14" spans="1:22" x14ac:dyDescent="0.3">
      <c r="A14" s="3"/>
      <c r="B14" s="3"/>
      <c r="C14" s="8"/>
      <c r="D14" s="126"/>
      <c r="E14" s="126"/>
      <c r="F14" s="125"/>
      <c r="G14" s="8"/>
      <c r="H14" s="25" t="s">
        <v>45</v>
      </c>
      <c r="I14" s="147"/>
      <c r="J14" s="148"/>
      <c r="K14" s="12"/>
      <c r="L14" s="70"/>
      <c r="M14" s="114"/>
      <c r="N14" s="115"/>
      <c r="O14" s="67"/>
      <c r="P14" s="97"/>
      <c r="Q14" s="129"/>
    </row>
    <row r="15" spans="1:22" x14ac:dyDescent="0.3">
      <c r="A15" s="3"/>
      <c r="B15" s="3"/>
      <c r="C15" s="8"/>
      <c r="D15" s="8"/>
      <c r="E15" s="8"/>
      <c r="F15" s="8"/>
      <c r="G15" s="8"/>
      <c r="H15" s="8"/>
      <c r="I15" s="8"/>
      <c r="J15" s="8"/>
      <c r="K15" s="12"/>
      <c r="L15" s="70"/>
      <c r="M15" s="114"/>
      <c r="N15" s="115"/>
      <c r="O15" s="67"/>
      <c r="P15" s="97"/>
      <c r="Q15" s="129"/>
    </row>
    <row r="16" spans="1:22" x14ac:dyDescent="0.3">
      <c r="A16" s="3"/>
      <c r="B16" s="3"/>
      <c r="C16" s="8"/>
      <c r="D16" s="8"/>
      <c r="E16" s="8"/>
      <c r="F16" s="8"/>
      <c r="G16" s="8"/>
      <c r="H16" s="8"/>
      <c r="I16" s="8"/>
      <c r="J16" s="8"/>
      <c r="K16" s="12"/>
      <c r="L16" s="70"/>
      <c r="M16" s="114"/>
      <c r="N16" s="115"/>
      <c r="O16" s="67"/>
      <c r="P16" s="97"/>
      <c r="Q16" s="59"/>
      <c r="R16" s="76"/>
    </row>
    <row r="17" spans="1:18" x14ac:dyDescent="0.3">
      <c r="A17" s="3"/>
      <c r="B17" s="3"/>
      <c r="C17" s="8" t="s">
        <v>163</v>
      </c>
      <c r="D17" s="8"/>
      <c r="E17" s="8"/>
      <c r="F17" s="8"/>
      <c r="G17" s="8"/>
      <c r="H17" s="8"/>
      <c r="I17" s="8"/>
      <c r="J17" s="8"/>
      <c r="K17" s="12"/>
      <c r="L17" s="70"/>
      <c r="M17" s="114"/>
      <c r="N17" s="115"/>
      <c r="O17" s="67"/>
      <c r="P17" s="97"/>
      <c r="Q17" s="59"/>
      <c r="R17" s="76"/>
    </row>
    <row r="18" spans="1:18" x14ac:dyDescent="0.3">
      <c r="A18" s="3"/>
      <c r="B18" s="3"/>
      <c r="C18" s="8"/>
      <c r="D18" s="8"/>
      <c r="E18" s="8"/>
      <c r="F18" s="8"/>
      <c r="G18" s="8"/>
      <c r="H18" s="8"/>
      <c r="I18" s="8"/>
      <c r="J18" s="8"/>
      <c r="K18" s="12"/>
      <c r="L18" s="70"/>
      <c r="M18" s="114"/>
      <c r="N18" s="115"/>
      <c r="O18" s="67"/>
      <c r="P18" s="98"/>
      <c r="Q18" s="96"/>
    </row>
    <row r="19" spans="1:18" x14ac:dyDescent="0.3">
      <c r="A19" s="3"/>
      <c r="B19" s="3"/>
      <c r="C19" s="8"/>
      <c r="D19" s="8"/>
      <c r="E19" s="8"/>
      <c r="F19" s="8"/>
      <c r="G19" s="8"/>
      <c r="H19" s="8"/>
      <c r="I19" s="8"/>
      <c r="J19" s="8"/>
      <c r="K19" s="12"/>
      <c r="L19" s="70"/>
      <c r="M19" s="114"/>
      <c r="N19" s="115"/>
      <c r="O19" s="67"/>
      <c r="P19" s="97"/>
      <c r="Q19" s="59"/>
    </row>
    <row r="20" spans="1:18" x14ac:dyDescent="0.3">
      <c r="A20" s="3"/>
      <c r="B20" s="3"/>
      <c r="C20" s="8"/>
      <c r="D20" s="8"/>
      <c r="E20" s="8"/>
      <c r="F20" s="8"/>
      <c r="G20" s="8"/>
      <c r="H20" s="8"/>
      <c r="I20" s="8"/>
      <c r="J20" s="8"/>
      <c r="K20" s="12"/>
      <c r="L20" s="70"/>
      <c r="M20" s="114"/>
      <c r="N20" s="115"/>
      <c r="O20" s="67"/>
      <c r="P20" s="97"/>
      <c r="Q20" s="59"/>
    </row>
    <row r="21" spans="1:18" x14ac:dyDescent="0.3">
      <c r="A21" s="3"/>
      <c r="B21" s="3"/>
      <c r="C21" s="8"/>
      <c r="D21" s="8"/>
      <c r="E21" s="8"/>
      <c r="F21" s="8"/>
      <c r="G21" s="8"/>
      <c r="H21" s="8"/>
      <c r="I21" s="8"/>
      <c r="J21" s="8"/>
      <c r="K21" s="12"/>
      <c r="L21" s="70"/>
      <c r="M21" s="114"/>
      <c r="N21" s="115"/>
      <c r="O21" s="67"/>
      <c r="P21" s="97"/>
      <c r="Q21" s="59"/>
    </row>
    <row r="22" spans="1:18" x14ac:dyDescent="0.3">
      <c r="A22" s="3"/>
      <c r="B22" s="3"/>
      <c r="C22" s="8"/>
      <c r="D22" s="8"/>
      <c r="E22" s="8"/>
      <c r="F22" s="8"/>
      <c r="G22" s="8"/>
      <c r="H22" s="8"/>
      <c r="I22" s="8"/>
      <c r="J22" s="8"/>
      <c r="K22" s="12"/>
      <c r="L22" s="70"/>
      <c r="M22" s="114"/>
      <c r="N22" s="115"/>
      <c r="O22" s="67"/>
      <c r="P22" s="97"/>
      <c r="Q22" s="59"/>
    </row>
    <row r="23" spans="1:18" x14ac:dyDescent="0.3">
      <c r="A23" s="3"/>
      <c r="B23" s="3"/>
      <c r="C23" s="8"/>
      <c r="D23" s="8"/>
      <c r="E23" s="8"/>
      <c r="F23" s="8"/>
      <c r="G23" s="8"/>
      <c r="H23" s="8"/>
      <c r="I23" s="8"/>
      <c r="J23" s="8"/>
      <c r="K23" s="12"/>
      <c r="L23" s="70"/>
      <c r="M23" s="114"/>
      <c r="N23" s="115"/>
      <c r="O23" s="67"/>
      <c r="P23" s="97"/>
      <c r="Q23" s="59"/>
    </row>
    <row r="24" spans="1:18" x14ac:dyDescent="0.3">
      <c r="A24" s="72"/>
      <c r="B24" s="3"/>
      <c r="C24" s="8"/>
      <c r="D24" s="8"/>
      <c r="E24" s="8"/>
      <c r="F24" s="8"/>
      <c r="G24" s="8"/>
      <c r="H24" s="8"/>
      <c r="I24" s="8"/>
      <c r="J24" s="8"/>
      <c r="K24" s="12"/>
      <c r="L24" s="70"/>
      <c r="M24" s="114"/>
      <c r="N24" s="115"/>
      <c r="O24" s="67"/>
      <c r="P24" s="99"/>
      <c r="Q24" s="124"/>
    </row>
    <row r="25" spans="1:18" x14ac:dyDescent="0.3">
      <c r="A25" s="3"/>
      <c r="B25" s="3"/>
      <c r="C25" s="8"/>
      <c r="D25" s="8"/>
      <c r="E25" s="8"/>
      <c r="F25" s="8"/>
      <c r="G25" s="8"/>
      <c r="H25" s="8"/>
      <c r="I25" s="8"/>
      <c r="J25" s="8"/>
      <c r="K25" s="12"/>
      <c r="L25" s="70"/>
      <c r="M25" s="114"/>
      <c r="N25" s="115"/>
      <c r="O25" s="67"/>
      <c r="P25" s="97"/>
      <c r="Q25" s="59"/>
    </row>
    <row r="26" spans="1:18" x14ac:dyDescent="0.3">
      <c r="A26" s="3"/>
      <c r="B26" s="3"/>
      <c r="C26" s="8"/>
      <c r="D26" s="8"/>
      <c r="E26" s="8"/>
      <c r="F26" s="8"/>
      <c r="G26" s="8"/>
      <c r="H26" s="8"/>
      <c r="I26" s="8"/>
      <c r="J26" s="8"/>
      <c r="K26" s="12"/>
      <c r="L26" s="70"/>
      <c r="M26" s="114"/>
      <c r="N26" s="115"/>
      <c r="O26" s="67"/>
      <c r="P26" s="97"/>
      <c r="Q26" s="73"/>
    </row>
    <row r="27" spans="1:18" x14ac:dyDescent="0.3">
      <c r="A27" s="3"/>
      <c r="B27" s="3"/>
      <c r="C27" s="8"/>
      <c r="D27" s="8"/>
      <c r="E27" s="8"/>
      <c r="F27" s="8"/>
      <c r="G27" s="8"/>
      <c r="H27" s="8"/>
      <c r="I27" s="8"/>
      <c r="J27" s="8"/>
      <c r="K27" s="12"/>
      <c r="L27" s="70"/>
      <c r="M27" s="114"/>
      <c r="N27" s="115"/>
      <c r="O27" s="67"/>
      <c r="P27" s="97"/>
      <c r="Q27" s="73"/>
    </row>
    <row r="28" spans="1:18" x14ac:dyDescent="0.3">
      <c r="A28" s="3"/>
      <c r="B28" s="72"/>
      <c r="C28" s="8"/>
      <c r="D28" s="8"/>
      <c r="E28" s="8"/>
      <c r="F28" s="8"/>
      <c r="G28" s="8"/>
      <c r="H28" s="8"/>
      <c r="I28" s="8"/>
      <c r="J28" s="8"/>
      <c r="K28" s="12"/>
      <c r="L28" s="70"/>
      <c r="M28" s="114"/>
      <c r="N28" s="115"/>
      <c r="O28" s="67"/>
      <c r="P28" s="97"/>
      <c r="Q28" s="73"/>
    </row>
    <row r="29" spans="1:18" x14ac:dyDescent="0.3">
      <c r="A29" s="3"/>
      <c r="B29" s="3"/>
      <c r="C29" s="8"/>
      <c r="D29" s="8"/>
      <c r="E29" s="8"/>
      <c r="F29" s="8"/>
      <c r="G29" s="8"/>
      <c r="H29" s="8"/>
      <c r="I29" s="8"/>
      <c r="J29" s="8"/>
      <c r="K29" s="12"/>
      <c r="L29" s="70"/>
      <c r="M29" s="114"/>
      <c r="N29" s="115"/>
      <c r="O29" s="67"/>
      <c r="P29" s="97"/>
      <c r="Q29" s="73"/>
    </row>
    <row r="30" spans="1:18" x14ac:dyDescent="0.3">
      <c r="A30" s="3"/>
      <c r="B30" s="3"/>
      <c r="C30" s="8"/>
      <c r="D30" s="8"/>
      <c r="E30" s="8"/>
      <c r="F30" s="8"/>
      <c r="G30" s="8"/>
      <c r="H30" s="8"/>
      <c r="I30" s="8"/>
      <c r="J30" s="8"/>
      <c r="K30" s="12"/>
      <c r="L30" s="70"/>
      <c r="M30" s="114"/>
      <c r="N30" s="115"/>
      <c r="O30" s="67"/>
      <c r="P30" s="104"/>
      <c r="Q30" s="74"/>
    </row>
    <row r="31" spans="1:18" x14ac:dyDescent="0.3">
      <c r="A31" s="3"/>
      <c r="B31" s="3"/>
      <c r="C31" s="8"/>
      <c r="D31" s="8"/>
      <c r="E31" s="8"/>
      <c r="F31" s="8"/>
      <c r="G31" s="8"/>
      <c r="H31" s="8"/>
      <c r="I31" s="8"/>
      <c r="J31" s="8"/>
      <c r="K31" s="12"/>
      <c r="L31" s="70"/>
      <c r="M31" s="114"/>
      <c r="N31" s="115"/>
      <c r="O31" s="67"/>
      <c r="P31" s="97"/>
      <c r="Q31" s="59"/>
    </row>
    <row r="32" spans="1:18" x14ac:dyDescent="0.3">
      <c r="A32" s="3"/>
      <c r="B32" s="3"/>
      <c r="C32" s="8"/>
      <c r="D32" s="8"/>
      <c r="E32" s="8"/>
      <c r="F32" s="8"/>
      <c r="G32" s="8"/>
      <c r="H32" s="8"/>
      <c r="I32" s="8"/>
      <c r="J32" s="8"/>
      <c r="K32" s="12"/>
      <c r="L32" s="70"/>
      <c r="M32" s="114"/>
      <c r="N32" s="120"/>
      <c r="O32" s="67"/>
      <c r="P32" s="100"/>
      <c r="Q32" s="59"/>
    </row>
    <row r="33" spans="1:17" x14ac:dyDescent="0.3">
      <c r="A33" s="3"/>
      <c r="B33" s="3"/>
      <c r="C33" s="8"/>
      <c r="D33" s="8"/>
      <c r="E33" s="8"/>
      <c r="F33" s="8"/>
      <c r="G33" s="8"/>
      <c r="H33" s="8"/>
      <c r="I33" s="8"/>
      <c r="J33" s="8"/>
      <c r="K33" s="12"/>
      <c r="L33" s="70"/>
      <c r="M33" s="114"/>
      <c r="N33" s="120"/>
      <c r="O33" s="67"/>
      <c r="P33" s="100"/>
      <c r="Q33" s="59"/>
    </row>
    <row r="34" spans="1:17" x14ac:dyDescent="0.3">
      <c r="A34" s="3"/>
      <c r="B34" s="3"/>
      <c r="C34" s="8"/>
      <c r="D34" s="8"/>
      <c r="E34" s="8"/>
      <c r="F34" s="8"/>
      <c r="G34" s="8"/>
      <c r="H34" s="8"/>
      <c r="I34" s="8"/>
      <c r="J34" s="8"/>
      <c r="K34" s="12"/>
      <c r="L34" s="70"/>
      <c r="M34" s="114"/>
      <c r="N34" s="120"/>
      <c r="O34" s="67"/>
      <c r="P34" s="100"/>
      <c r="Q34" s="59"/>
    </row>
    <row r="35" spans="1:17" x14ac:dyDescent="0.3">
      <c r="A35" s="3"/>
      <c r="B35" s="3"/>
      <c r="C35" s="8"/>
      <c r="D35" s="8"/>
      <c r="E35" s="8"/>
      <c r="F35" s="8"/>
      <c r="G35" s="8"/>
      <c r="H35" s="8"/>
      <c r="I35" s="8"/>
      <c r="J35" s="8"/>
      <c r="K35" s="12"/>
      <c r="L35" s="70"/>
      <c r="M35" s="114"/>
      <c r="N35" s="120"/>
      <c r="O35" s="67"/>
      <c r="P35" s="100"/>
      <c r="Q35" s="59"/>
    </row>
    <row r="36" spans="1:17" x14ac:dyDescent="0.3">
      <c r="A36" s="3"/>
      <c r="B36" s="3"/>
      <c r="C36" s="8"/>
      <c r="G36" s="8"/>
      <c r="H36" s="8"/>
      <c r="I36" s="8"/>
      <c r="J36" s="8"/>
      <c r="K36" s="12"/>
      <c r="L36" s="70"/>
      <c r="M36" s="114"/>
      <c r="N36" s="120"/>
      <c r="O36" s="67"/>
      <c r="P36" s="100"/>
      <c r="Q36" s="59"/>
    </row>
  </sheetData>
  <mergeCells count="22">
    <mergeCell ref="D13:F13"/>
    <mergeCell ref="I14:J14"/>
    <mergeCell ref="C2:K2"/>
    <mergeCell ref="C1:K1"/>
    <mergeCell ref="H10:J10"/>
    <mergeCell ref="H11:J11"/>
    <mergeCell ref="I13:J13"/>
    <mergeCell ref="E3:F3"/>
    <mergeCell ref="D4:F4"/>
    <mergeCell ref="E10:F10"/>
    <mergeCell ref="D12:F12"/>
    <mergeCell ref="H12:J12"/>
    <mergeCell ref="P7:Q7"/>
    <mergeCell ref="P8:Q8"/>
    <mergeCell ref="P9:Q9"/>
    <mergeCell ref="P10:Q10"/>
    <mergeCell ref="L1:Q1"/>
    <mergeCell ref="L2:L5"/>
    <mergeCell ref="M2:Q2"/>
    <mergeCell ref="M3:Q3"/>
    <mergeCell ref="M4:Q4"/>
    <mergeCell ref="P5:Q5"/>
  </mergeCells>
  <conditionalFormatting sqref="L13:Q91">
    <cfRule type="expression" priority="7">
      <formula>$P16 = "Subtotal:"</formula>
    </cfRule>
    <cfRule type="expression" dxfId="2" priority="8">
      <formula>$B$6=ROW()</formula>
    </cfRule>
  </conditionalFormatting>
  <conditionalFormatting sqref="L12:Q91">
    <cfRule type="expression" dxfId="1" priority="11">
      <formula>$P13 = "Total:"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FetchInvoiceDetails">
                <anchor moveWithCells="1">
                  <from>
                    <xdr:col>2</xdr:col>
                    <xdr:colOff>617220</xdr:colOff>
                    <xdr:row>12</xdr:row>
                    <xdr:rowOff>228600</xdr:rowOff>
                  </from>
                  <to>
                    <xdr:col>4</xdr:col>
                    <xdr:colOff>899160</xdr:colOff>
                    <xdr:row>14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InvoiceDetails">
                <anchor moveWithCells="1">
                  <from>
                    <xdr:col>3</xdr:col>
                    <xdr:colOff>7620</xdr:colOff>
                    <xdr:row>14</xdr:row>
                    <xdr:rowOff>91440</xdr:rowOff>
                  </from>
                  <to>
                    <xdr:col>4</xdr:col>
                    <xdr:colOff>723900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19960-C85F-4E98-A608-9E2F0A22ED37}">
  <sheetPr codeName="Sheet2"/>
  <dimension ref="A1:L345"/>
  <sheetViews>
    <sheetView workbookViewId="0">
      <selection activeCell="L8" sqref="A3:L8"/>
    </sheetView>
  </sheetViews>
  <sheetFormatPr defaultRowHeight="14.4" x14ac:dyDescent="0.3"/>
  <cols>
    <col min="1" max="1" width="10.44140625" customWidth="1"/>
    <col min="2" max="3" width="23.109375" customWidth="1"/>
    <col min="4" max="4" width="20.109375" customWidth="1"/>
    <col min="5" max="7" width="15.33203125" customWidth="1"/>
    <col min="8" max="8" width="23.33203125" customWidth="1"/>
    <col min="10" max="10" width="8.88671875" style="122"/>
  </cols>
  <sheetData>
    <row r="1" spans="1:12" ht="14.4" customHeight="1" x14ac:dyDescent="0.3">
      <c r="A1" s="162" t="s">
        <v>0</v>
      </c>
      <c r="B1" s="162"/>
      <c r="C1" s="162"/>
      <c r="D1" s="162"/>
      <c r="E1" s="162"/>
      <c r="F1" s="162"/>
      <c r="G1" s="162"/>
      <c r="H1" s="162"/>
      <c r="I1" s="162"/>
      <c r="J1" s="162"/>
      <c r="K1" s="162"/>
      <c r="L1" s="162"/>
    </row>
    <row r="2" spans="1:12" x14ac:dyDescent="0.3">
      <c r="A2" s="1" t="s">
        <v>1</v>
      </c>
      <c r="B2" s="1" t="s">
        <v>2</v>
      </c>
      <c r="C2" s="1" t="s">
        <v>61</v>
      </c>
      <c r="D2" s="1" t="s">
        <v>62</v>
      </c>
      <c r="E2" s="1" t="s">
        <v>3</v>
      </c>
      <c r="F2" s="1" t="s">
        <v>63</v>
      </c>
      <c r="G2" s="1" t="s">
        <v>162</v>
      </c>
      <c r="H2" s="1" t="s">
        <v>4</v>
      </c>
      <c r="I2" s="1" t="s">
        <v>5</v>
      </c>
      <c r="J2" s="121" t="s">
        <v>5</v>
      </c>
      <c r="K2" s="1" t="s">
        <v>7</v>
      </c>
      <c r="L2" s="1" t="s">
        <v>6</v>
      </c>
    </row>
    <row r="3" spans="1:12" x14ac:dyDescent="0.3">
      <c r="E3" s="75"/>
      <c r="H3" s="11"/>
      <c r="K3" s="76"/>
      <c r="L3" s="76"/>
    </row>
    <row r="4" spans="1:12" x14ac:dyDescent="0.3">
      <c r="C4" s="127"/>
      <c r="E4" s="75"/>
      <c r="H4" s="11"/>
      <c r="K4" s="76"/>
      <c r="L4" s="76"/>
    </row>
    <row r="5" spans="1:12" x14ac:dyDescent="0.3">
      <c r="E5" s="75"/>
      <c r="H5" s="11"/>
      <c r="K5" s="76"/>
      <c r="L5" s="76"/>
    </row>
    <row r="6" spans="1:12" x14ac:dyDescent="0.3">
      <c r="E6" s="75"/>
      <c r="H6" s="11"/>
      <c r="K6" s="76"/>
      <c r="L6" s="76"/>
    </row>
    <row r="7" spans="1:12" x14ac:dyDescent="0.3">
      <c r="E7" s="75"/>
      <c r="H7" s="11"/>
      <c r="K7" s="76"/>
      <c r="L7" s="76"/>
    </row>
    <row r="8" spans="1:12" x14ac:dyDescent="0.3">
      <c r="E8" s="75"/>
      <c r="H8" s="11"/>
      <c r="K8" s="76"/>
      <c r="L8" s="76"/>
    </row>
    <row r="9" spans="1:12" x14ac:dyDescent="0.3">
      <c r="E9" s="75"/>
      <c r="H9" s="11"/>
      <c r="K9" s="76"/>
      <c r="L9" s="76"/>
    </row>
    <row r="10" spans="1:12" x14ac:dyDescent="0.3">
      <c r="E10" s="75"/>
      <c r="H10" s="11"/>
      <c r="K10" s="76"/>
      <c r="L10" s="76"/>
    </row>
    <row r="11" spans="1:12" x14ac:dyDescent="0.3">
      <c r="E11" s="75"/>
      <c r="H11" s="11"/>
      <c r="K11" s="76"/>
      <c r="L11" s="76"/>
    </row>
    <row r="12" spans="1:12" x14ac:dyDescent="0.3">
      <c r="E12" s="75"/>
      <c r="H12" s="11"/>
      <c r="K12" s="76"/>
      <c r="L12" s="76"/>
    </row>
    <row r="13" spans="1:12" x14ac:dyDescent="0.3">
      <c r="E13" s="75"/>
      <c r="H13" s="11"/>
      <c r="K13" s="76"/>
      <c r="L13" s="76"/>
    </row>
    <row r="14" spans="1:12" x14ac:dyDescent="0.3">
      <c r="E14" s="75"/>
      <c r="H14" s="11"/>
      <c r="K14" s="76"/>
      <c r="L14" s="76"/>
    </row>
    <row r="15" spans="1:12" x14ac:dyDescent="0.3">
      <c r="E15" s="75"/>
      <c r="H15" s="11"/>
      <c r="K15" s="76"/>
    </row>
    <row r="16" spans="1:12" x14ac:dyDescent="0.3">
      <c r="E16" s="75"/>
      <c r="H16" s="11"/>
      <c r="K16" s="76"/>
    </row>
    <row r="17" spans="5:11" x14ac:dyDescent="0.3">
      <c r="E17" s="75"/>
      <c r="H17" s="11"/>
      <c r="K17" s="76"/>
    </row>
    <row r="18" spans="5:11" x14ac:dyDescent="0.3">
      <c r="E18" s="75"/>
      <c r="H18" s="11"/>
      <c r="K18" s="76"/>
    </row>
    <row r="19" spans="5:11" x14ac:dyDescent="0.3">
      <c r="E19" s="75"/>
      <c r="H19" s="11"/>
      <c r="K19" s="76"/>
    </row>
    <row r="20" spans="5:11" x14ac:dyDescent="0.3">
      <c r="E20" s="75"/>
      <c r="H20" s="11"/>
      <c r="K20" s="76"/>
    </row>
    <row r="21" spans="5:11" x14ac:dyDescent="0.3">
      <c r="E21" s="75"/>
      <c r="H21" s="11"/>
      <c r="K21" s="76"/>
    </row>
    <row r="22" spans="5:11" x14ac:dyDescent="0.3">
      <c r="E22" s="75"/>
      <c r="H22" s="11"/>
    </row>
    <row r="23" spans="5:11" x14ac:dyDescent="0.3">
      <c r="E23" s="75"/>
      <c r="H23" s="11"/>
    </row>
    <row r="24" spans="5:11" x14ac:dyDescent="0.3">
      <c r="E24" s="75"/>
      <c r="H24" s="11"/>
    </row>
    <row r="25" spans="5:11" x14ac:dyDescent="0.3">
      <c r="E25" s="75"/>
      <c r="H25" s="11"/>
    </row>
    <row r="26" spans="5:11" x14ac:dyDescent="0.3">
      <c r="E26" s="75"/>
      <c r="H26" s="11"/>
      <c r="K26" s="76"/>
    </row>
    <row r="27" spans="5:11" x14ac:dyDescent="0.3">
      <c r="E27" s="75"/>
      <c r="H27" s="11"/>
    </row>
    <row r="28" spans="5:11" x14ac:dyDescent="0.3">
      <c r="E28" s="75"/>
      <c r="H28" s="11"/>
      <c r="K28" s="76"/>
    </row>
    <row r="29" spans="5:11" x14ac:dyDescent="0.3">
      <c r="E29" s="75"/>
      <c r="H29" s="11"/>
      <c r="K29" s="76"/>
    </row>
    <row r="30" spans="5:11" x14ac:dyDescent="0.3">
      <c r="E30" s="75"/>
      <c r="H30" s="11"/>
      <c r="K30" s="76"/>
    </row>
    <row r="31" spans="5:11" x14ac:dyDescent="0.3">
      <c r="E31" s="75"/>
      <c r="H31" s="11"/>
      <c r="K31" s="76"/>
    </row>
    <row r="32" spans="5:11" x14ac:dyDescent="0.3">
      <c r="E32" s="75"/>
      <c r="H32" s="11"/>
      <c r="K32" s="76"/>
    </row>
    <row r="33" spans="5:11" x14ac:dyDescent="0.3">
      <c r="E33" s="75"/>
      <c r="H33" s="11"/>
      <c r="K33" s="76"/>
    </row>
    <row r="34" spans="5:11" x14ac:dyDescent="0.3">
      <c r="E34" s="75"/>
      <c r="H34" s="11"/>
    </row>
    <row r="35" spans="5:11" x14ac:dyDescent="0.3">
      <c r="E35" s="75"/>
      <c r="H35" s="11"/>
    </row>
    <row r="36" spans="5:11" x14ac:dyDescent="0.3">
      <c r="E36" s="75"/>
      <c r="H36" s="11"/>
    </row>
    <row r="37" spans="5:11" x14ac:dyDescent="0.3">
      <c r="E37" s="75"/>
      <c r="H37" s="11"/>
      <c r="K37" s="76"/>
    </row>
    <row r="38" spans="5:11" x14ac:dyDescent="0.3">
      <c r="E38" s="75"/>
      <c r="H38" s="11"/>
      <c r="K38" s="76"/>
    </row>
    <row r="39" spans="5:11" x14ac:dyDescent="0.3">
      <c r="E39" s="75"/>
      <c r="H39" s="11"/>
      <c r="K39" s="76"/>
    </row>
    <row r="40" spans="5:11" x14ac:dyDescent="0.3">
      <c r="E40" s="75"/>
      <c r="H40" s="11"/>
      <c r="K40" s="76"/>
    </row>
    <row r="41" spans="5:11" x14ac:dyDescent="0.3">
      <c r="E41" s="75"/>
      <c r="H41" s="11"/>
      <c r="K41" s="76"/>
    </row>
    <row r="42" spans="5:11" x14ac:dyDescent="0.3">
      <c r="E42" s="75"/>
      <c r="H42" s="11"/>
      <c r="K42" s="76"/>
    </row>
    <row r="43" spans="5:11" x14ac:dyDescent="0.3">
      <c r="E43" s="75"/>
      <c r="H43" s="11"/>
      <c r="K43" s="76"/>
    </row>
    <row r="44" spans="5:11" x14ac:dyDescent="0.3">
      <c r="E44" s="75"/>
      <c r="H44" s="11"/>
      <c r="K44" s="76"/>
    </row>
    <row r="45" spans="5:11" x14ac:dyDescent="0.3">
      <c r="E45" s="75"/>
      <c r="H45" s="11"/>
      <c r="K45" s="76"/>
    </row>
    <row r="46" spans="5:11" x14ac:dyDescent="0.3">
      <c r="E46" s="75"/>
      <c r="H46" s="11"/>
      <c r="K46" s="76"/>
    </row>
    <row r="47" spans="5:11" x14ac:dyDescent="0.3">
      <c r="E47" s="75"/>
      <c r="H47" s="11"/>
      <c r="K47" s="76"/>
    </row>
    <row r="48" spans="5:11" x14ac:dyDescent="0.3">
      <c r="E48" s="75"/>
      <c r="H48" s="11"/>
      <c r="K48" s="76"/>
    </row>
    <row r="49" spans="5:11" x14ac:dyDescent="0.3">
      <c r="E49" s="75"/>
      <c r="H49" s="11"/>
      <c r="K49" s="76"/>
    </row>
    <row r="50" spans="5:11" x14ac:dyDescent="0.3">
      <c r="E50" s="75"/>
      <c r="H50" s="11"/>
      <c r="K50" s="76"/>
    </row>
    <row r="51" spans="5:11" x14ac:dyDescent="0.3">
      <c r="E51" s="75"/>
      <c r="H51" s="11"/>
      <c r="K51" s="76"/>
    </row>
    <row r="52" spans="5:11" x14ac:dyDescent="0.3">
      <c r="E52" s="75"/>
      <c r="H52" s="11"/>
      <c r="K52" s="76"/>
    </row>
    <row r="53" spans="5:11" x14ac:dyDescent="0.3">
      <c r="E53" s="75"/>
      <c r="H53" s="11"/>
      <c r="K53" s="76"/>
    </row>
    <row r="54" spans="5:11" x14ac:dyDescent="0.3">
      <c r="E54" s="75"/>
      <c r="H54" s="11"/>
      <c r="K54" s="76"/>
    </row>
    <row r="55" spans="5:11" x14ac:dyDescent="0.3">
      <c r="E55" s="75"/>
      <c r="H55" s="11"/>
      <c r="K55" s="76"/>
    </row>
    <row r="56" spans="5:11" x14ac:dyDescent="0.3">
      <c r="E56" s="75"/>
      <c r="H56" s="11"/>
      <c r="K56" s="76"/>
    </row>
    <row r="57" spans="5:11" x14ac:dyDescent="0.3">
      <c r="E57" s="75"/>
      <c r="H57" s="11"/>
      <c r="K57" s="76"/>
    </row>
    <row r="58" spans="5:11" x14ac:dyDescent="0.3">
      <c r="E58" s="75"/>
      <c r="H58" s="11"/>
      <c r="K58" s="76"/>
    </row>
    <row r="59" spans="5:11" x14ac:dyDescent="0.3">
      <c r="E59" s="75"/>
      <c r="H59" s="11"/>
      <c r="K59" s="76"/>
    </row>
    <row r="60" spans="5:11" x14ac:dyDescent="0.3">
      <c r="E60" s="75"/>
      <c r="H60" s="11"/>
      <c r="K60" s="76"/>
    </row>
    <row r="61" spans="5:11" x14ac:dyDescent="0.3">
      <c r="E61" s="75"/>
      <c r="H61" s="11"/>
      <c r="K61" s="76"/>
    </row>
    <row r="62" spans="5:11" x14ac:dyDescent="0.3">
      <c r="E62" s="75"/>
      <c r="H62" s="11"/>
      <c r="K62" s="76"/>
    </row>
    <row r="63" spans="5:11" x14ac:dyDescent="0.3">
      <c r="E63" s="75"/>
      <c r="H63" s="11"/>
      <c r="K63" s="76"/>
    </row>
    <row r="64" spans="5:11" x14ac:dyDescent="0.3">
      <c r="E64" s="75"/>
      <c r="H64" s="11"/>
      <c r="K64" s="76"/>
    </row>
    <row r="65" spans="5:11" x14ac:dyDescent="0.3">
      <c r="E65" s="75"/>
      <c r="H65" s="11"/>
      <c r="K65" s="76"/>
    </row>
    <row r="66" spans="5:11" x14ac:dyDescent="0.3">
      <c r="E66" s="75"/>
      <c r="H66" s="11"/>
      <c r="K66" s="76"/>
    </row>
    <row r="67" spans="5:11" x14ac:dyDescent="0.3">
      <c r="E67" s="75"/>
      <c r="H67" s="11"/>
      <c r="K67" s="76"/>
    </row>
    <row r="68" spans="5:11" x14ac:dyDescent="0.3">
      <c r="E68" s="75"/>
      <c r="H68" s="11"/>
      <c r="K68" s="76"/>
    </row>
    <row r="69" spans="5:11" x14ac:dyDescent="0.3">
      <c r="E69" s="75"/>
      <c r="H69" s="11"/>
      <c r="K69" s="76"/>
    </row>
    <row r="70" spans="5:11" x14ac:dyDescent="0.3">
      <c r="E70" s="75"/>
      <c r="H70" s="11"/>
      <c r="K70" s="76"/>
    </row>
    <row r="71" spans="5:11" x14ac:dyDescent="0.3">
      <c r="E71" s="75"/>
      <c r="H71" s="11"/>
      <c r="K71" s="76"/>
    </row>
    <row r="72" spans="5:11" x14ac:dyDescent="0.3">
      <c r="E72" s="75"/>
      <c r="H72" s="11"/>
      <c r="K72" s="76"/>
    </row>
    <row r="73" spans="5:11" x14ac:dyDescent="0.3">
      <c r="E73" s="75"/>
      <c r="H73" s="11"/>
      <c r="K73" s="76"/>
    </row>
    <row r="74" spans="5:11" x14ac:dyDescent="0.3">
      <c r="E74" s="75"/>
      <c r="H74" s="11"/>
      <c r="K74" s="76"/>
    </row>
    <row r="75" spans="5:11" x14ac:dyDescent="0.3">
      <c r="E75" s="75"/>
      <c r="H75" s="11"/>
      <c r="K75" s="76"/>
    </row>
    <row r="76" spans="5:11" x14ac:dyDescent="0.3">
      <c r="E76" s="75"/>
      <c r="H76" s="11"/>
      <c r="K76" s="76"/>
    </row>
    <row r="77" spans="5:11" x14ac:dyDescent="0.3">
      <c r="E77" s="75"/>
      <c r="H77" s="11"/>
      <c r="K77" s="76"/>
    </row>
    <row r="78" spans="5:11" x14ac:dyDescent="0.3">
      <c r="E78" s="75"/>
      <c r="H78" s="11"/>
      <c r="K78" s="76"/>
    </row>
    <row r="79" spans="5:11" x14ac:dyDescent="0.3">
      <c r="E79" s="75"/>
      <c r="H79" s="11"/>
      <c r="K79" s="76"/>
    </row>
    <row r="80" spans="5:11" x14ac:dyDescent="0.3">
      <c r="E80" s="75"/>
      <c r="H80" s="11"/>
      <c r="K80" s="76"/>
    </row>
    <row r="81" spans="5:11" x14ac:dyDescent="0.3">
      <c r="E81" s="75"/>
      <c r="H81" s="11"/>
      <c r="K81" s="76"/>
    </row>
    <row r="82" spans="5:11" x14ac:dyDescent="0.3">
      <c r="E82" s="75"/>
      <c r="H82" s="11"/>
      <c r="K82" s="76"/>
    </row>
    <row r="83" spans="5:11" x14ac:dyDescent="0.3">
      <c r="E83" s="75"/>
      <c r="H83" s="11"/>
      <c r="K83" s="76"/>
    </row>
    <row r="84" spans="5:11" x14ac:dyDescent="0.3">
      <c r="E84" s="75"/>
      <c r="H84" s="11"/>
      <c r="K84" s="76"/>
    </row>
    <row r="85" spans="5:11" x14ac:dyDescent="0.3">
      <c r="E85" s="75"/>
      <c r="H85" s="11"/>
      <c r="K85" s="76"/>
    </row>
    <row r="86" spans="5:11" x14ac:dyDescent="0.3">
      <c r="E86" s="75"/>
      <c r="H86" s="11"/>
      <c r="K86" s="76"/>
    </row>
    <row r="87" spans="5:11" x14ac:dyDescent="0.3">
      <c r="E87" s="75"/>
      <c r="H87" s="11"/>
      <c r="K87" s="76"/>
    </row>
    <row r="88" spans="5:11" x14ac:dyDescent="0.3">
      <c r="E88" s="75"/>
      <c r="H88" s="11"/>
      <c r="K88" s="76"/>
    </row>
    <row r="89" spans="5:11" x14ac:dyDescent="0.3">
      <c r="E89" s="75"/>
      <c r="H89" s="11"/>
      <c r="K89" s="76"/>
    </row>
    <row r="90" spans="5:11" x14ac:dyDescent="0.3">
      <c r="E90" s="75"/>
      <c r="H90" s="11"/>
      <c r="K90" s="76"/>
    </row>
    <row r="91" spans="5:11" x14ac:dyDescent="0.3">
      <c r="E91" s="75"/>
      <c r="H91" s="11"/>
      <c r="K91" s="76"/>
    </row>
    <row r="92" spans="5:11" x14ac:dyDescent="0.3">
      <c r="E92" s="75"/>
      <c r="H92" s="11"/>
      <c r="K92" s="76"/>
    </row>
    <row r="93" spans="5:11" x14ac:dyDescent="0.3">
      <c r="E93" s="75"/>
      <c r="H93" s="11"/>
      <c r="K93" s="76"/>
    </row>
    <row r="94" spans="5:11" x14ac:dyDescent="0.3">
      <c r="E94" s="75"/>
      <c r="H94" s="11"/>
      <c r="K94" s="76"/>
    </row>
    <row r="95" spans="5:11" x14ac:dyDescent="0.3">
      <c r="E95" s="75"/>
      <c r="H95" s="11"/>
      <c r="K95" s="76"/>
    </row>
    <row r="96" spans="5:11" x14ac:dyDescent="0.3">
      <c r="E96" s="75"/>
      <c r="H96" s="11"/>
      <c r="K96" s="76"/>
    </row>
    <row r="97" spans="5:11" x14ac:dyDescent="0.3">
      <c r="E97" s="75"/>
      <c r="H97" s="11"/>
      <c r="K97" s="76"/>
    </row>
    <row r="98" spans="5:11" x14ac:dyDescent="0.3">
      <c r="E98" s="75"/>
      <c r="H98" s="11"/>
      <c r="K98" s="76"/>
    </row>
    <row r="99" spans="5:11" x14ac:dyDescent="0.3">
      <c r="E99" s="75"/>
      <c r="H99" s="11"/>
      <c r="K99" s="76"/>
    </row>
    <row r="100" spans="5:11" x14ac:dyDescent="0.3">
      <c r="E100" s="75"/>
      <c r="H100" s="11"/>
      <c r="K100" s="76"/>
    </row>
    <row r="101" spans="5:11" x14ac:dyDescent="0.3">
      <c r="E101" s="75"/>
      <c r="H101" s="11"/>
      <c r="K101" s="76"/>
    </row>
    <row r="102" spans="5:11" x14ac:dyDescent="0.3">
      <c r="E102" s="75"/>
      <c r="H102" s="11"/>
      <c r="K102" s="76"/>
    </row>
    <row r="103" spans="5:11" x14ac:dyDescent="0.3">
      <c r="E103" s="75"/>
      <c r="H103" s="11"/>
      <c r="K103" s="76"/>
    </row>
    <row r="104" spans="5:11" x14ac:dyDescent="0.3">
      <c r="E104" s="75"/>
      <c r="H104" s="11"/>
      <c r="K104" s="76"/>
    </row>
    <row r="105" spans="5:11" x14ac:dyDescent="0.3">
      <c r="E105" s="75"/>
      <c r="H105" s="11"/>
      <c r="K105" s="76"/>
    </row>
    <row r="106" spans="5:11" x14ac:dyDescent="0.3">
      <c r="E106" s="75"/>
      <c r="H106" s="11"/>
      <c r="K106" s="76"/>
    </row>
    <row r="107" spans="5:11" x14ac:dyDescent="0.3">
      <c r="E107" s="75"/>
      <c r="H107" s="11"/>
      <c r="K107" s="76"/>
    </row>
    <row r="108" spans="5:11" x14ac:dyDescent="0.3">
      <c r="E108" s="75"/>
      <c r="H108" s="11"/>
      <c r="K108" s="76"/>
    </row>
    <row r="109" spans="5:11" x14ac:dyDescent="0.3">
      <c r="E109" s="75"/>
      <c r="H109" s="11"/>
      <c r="K109" s="76"/>
    </row>
    <row r="110" spans="5:11" x14ac:dyDescent="0.3">
      <c r="E110" s="75"/>
      <c r="H110" s="11"/>
      <c r="K110" s="76"/>
    </row>
    <row r="111" spans="5:11" x14ac:dyDescent="0.3">
      <c r="E111" s="75"/>
      <c r="H111" s="11"/>
      <c r="K111" s="76"/>
    </row>
    <row r="112" spans="5:11" x14ac:dyDescent="0.3">
      <c r="E112" s="75"/>
      <c r="H112" s="11"/>
      <c r="K112" s="76"/>
    </row>
    <row r="113" spans="5:11" x14ac:dyDescent="0.3">
      <c r="E113" s="75"/>
      <c r="H113" s="11"/>
      <c r="K113" s="76"/>
    </row>
    <row r="114" spans="5:11" x14ac:dyDescent="0.3">
      <c r="E114" s="75"/>
      <c r="H114" s="11"/>
      <c r="K114" s="76"/>
    </row>
    <row r="115" spans="5:11" x14ac:dyDescent="0.3">
      <c r="E115" s="75"/>
      <c r="H115" s="11"/>
      <c r="K115" s="76"/>
    </row>
    <row r="116" spans="5:11" x14ac:dyDescent="0.3">
      <c r="E116" s="75"/>
      <c r="H116" s="11"/>
      <c r="K116" s="76"/>
    </row>
    <row r="117" spans="5:11" x14ac:dyDescent="0.3">
      <c r="E117" s="75"/>
      <c r="H117" s="11"/>
      <c r="K117" s="76"/>
    </row>
    <row r="118" spans="5:11" x14ac:dyDescent="0.3">
      <c r="E118" s="75"/>
      <c r="H118" s="11"/>
      <c r="K118" s="76"/>
    </row>
    <row r="119" spans="5:11" x14ac:dyDescent="0.3">
      <c r="E119" s="75"/>
      <c r="H119" s="11"/>
      <c r="K119" s="76"/>
    </row>
    <row r="120" spans="5:11" x14ac:dyDescent="0.3">
      <c r="E120" s="75"/>
      <c r="H120" s="11"/>
      <c r="K120" s="76"/>
    </row>
    <row r="121" spans="5:11" x14ac:dyDescent="0.3">
      <c r="E121" s="75"/>
      <c r="H121" s="11"/>
      <c r="K121" s="76"/>
    </row>
    <row r="122" spans="5:11" x14ac:dyDescent="0.3">
      <c r="E122" s="75"/>
      <c r="H122" s="11"/>
      <c r="K122" s="76"/>
    </row>
    <row r="123" spans="5:11" x14ac:dyDescent="0.3">
      <c r="E123" s="75"/>
      <c r="H123" s="11"/>
      <c r="K123" s="76"/>
    </row>
    <row r="124" spans="5:11" x14ac:dyDescent="0.3">
      <c r="E124" s="75"/>
      <c r="H124" s="11"/>
      <c r="K124" s="76"/>
    </row>
    <row r="125" spans="5:11" x14ac:dyDescent="0.3">
      <c r="E125" s="75"/>
      <c r="H125" s="11"/>
      <c r="K125" s="76"/>
    </row>
    <row r="126" spans="5:11" x14ac:dyDescent="0.3">
      <c r="E126" s="75"/>
      <c r="H126" s="11"/>
      <c r="K126" s="76"/>
    </row>
    <row r="127" spans="5:11" x14ac:dyDescent="0.3">
      <c r="E127" s="75"/>
      <c r="H127" s="11"/>
      <c r="K127" s="76"/>
    </row>
    <row r="128" spans="5:11" x14ac:dyDescent="0.3">
      <c r="E128" s="75"/>
      <c r="H128" s="11"/>
      <c r="K128" s="76"/>
    </row>
    <row r="129" spans="5:11" x14ac:dyDescent="0.3">
      <c r="E129" s="75"/>
      <c r="H129" s="11"/>
      <c r="K129" s="76"/>
    </row>
    <row r="130" spans="5:11" x14ac:dyDescent="0.3">
      <c r="E130" s="75"/>
      <c r="H130" s="11"/>
      <c r="K130" s="76"/>
    </row>
    <row r="131" spans="5:11" x14ac:dyDescent="0.3">
      <c r="E131" s="75"/>
      <c r="H131" s="11"/>
      <c r="K131" s="76"/>
    </row>
    <row r="132" spans="5:11" x14ac:dyDescent="0.3">
      <c r="E132" s="75"/>
      <c r="H132" s="11"/>
      <c r="K132" s="76"/>
    </row>
    <row r="133" spans="5:11" x14ac:dyDescent="0.3">
      <c r="H133" s="11"/>
    </row>
    <row r="134" spans="5:11" x14ac:dyDescent="0.3">
      <c r="H134" s="11"/>
    </row>
    <row r="135" spans="5:11" x14ac:dyDescent="0.3">
      <c r="H135" s="11"/>
    </row>
    <row r="136" spans="5:11" x14ac:dyDescent="0.3">
      <c r="H136" s="11"/>
    </row>
    <row r="137" spans="5:11" x14ac:dyDescent="0.3">
      <c r="H137" s="11"/>
    </row>
    <row r="138" spans="5:11" x14ac:dyDescent="0.3">
      <c r="H138" s="11"/>
    </row>
    <row r="139" spans="5:11" x14ac:dyDescent="0.3">
      <c r="H139" s="11"/>
    </row>
    <row r="140" spans="5:11" x14ac:dyDescent="0.3">
      <c r="H140" s="11"/>
    </row>
    <row r="141" spans="5:11" x14ac:dyDescent="0.3">
      <c r="H141" s="11"/>
    </row>
    <row r="142" spans="5:11" x14ac:dyDescent="0.3">
      <c r="H142" s="11"/>
    </row>
    <row r="143" spans="5:11" x14ac:dyDescent="0.3">
      <c r="H143" s="11"/>
    </row>
    <row r="144" spans="5:11" x14ac:dyDescent="0.3">
      <c r="H144" s="11"/>
    </row>
    <row r="145" spans="8:8" x14ac:dyDescent="0.3">
      <c r="H145" s="11"/>
    </row>
    <row r="146" spans="8:8" x14ac:dyDescent="0.3">
      <c r="H146" s="11"/>
    </row>
    <row r="147" spans="8:8" x14ac:dyDescent="0.3">
      <c r="H147" s="11"/>
    </row>
    <row r="148" spans="8:8" x14ac:dyDescent="0.3">
      <c r="H148" s="11"/>
    </row>
    <row r="149" spans="8:8" x14ac:dyDescent="0.3">
      <c r="H149" s="11"/>
    </row>
    <row r="150" spans="8:8" x14ac:dyDescent="0.3">
      <c r="H150" s="11"/>
    </row>
    <row r="151" spans="8:8" x14ac:dyDescent="0.3">
      <c r="H151" s="11"/>
    </row>
    <row r="152" spans="8:8" x14ac:dyDescent="0.3">
      <c r="H152" s="11"/>
    </row>
    <row r="153" spans="8:8" x14ac:dyDescent="0.3">
      <c r="H153" s="11"/>
    </row>
    <row r="154" spans="8:8" x14ac:dyDescent="0.3">
      <c r="H154" s="11"/>
    </row>
    <row r="155" spans="8:8" x14ac:dyDescent="0.3">
      <c r="H155" s="11"/>
    </row>
    <row r="156" spans="8:8" x14ac:dyDescent="0.3">
      <c r="H156" s="11"/>
    </row>
    <row r="157" spans="8:8" x14ac:dyDescent="0.3">
      <c r="H157" s="11"/>
    </row>
    <row r="158" spans="8:8" x14ac:dyDescent="0.3">
      <c r="H158" s="11"/>
    </row>
    <row r="159" spans="8:8" x14ac:dyDescent="0.3">
      <c r="H159" s="11"/>
    </row>
    <row r="160" spans="8:8" x14ac:dyDescent="0.3">
      <c r="H160" s="11"/>
    </row>
    <row r="161" spans="8:8" x14ac:dyDescent="0.3">
      <c r="H161" s="11"/>
    </row>
    <row r="162" spans="8:8" x14ac:dyDescent="0.3">
      <c r="H162" s="11"/>
    </row>
    <row r="163" spans="8:8" x14ac:dyDescent="0.3">
      <c r="H163" s="11"/>
    </row>
    <row r="164" spans="8:8" x14ac:dyDescent="0.3">
      <c r="H164" s="11"/>
    </row>
    <row r="165" spans="8:8" x14ac:dyDescent="0.3">
      <c r="H165" s="11"/>
    </row>
    <row r="166" spans="8:8" x14ac:dyDescent="0.3">
      <c r="H166" s="11"/>
    </row>
    <row r="167" spans="8:8" x14ac:dyDescent="0.3">
      <c r="H167" s="11"/>
    </row>
    <row r="168" spans="8:8" x14ac:dyDescent="0.3">
      <c r="H168" s="11"/>
    </row>
    <row r="169" spans="8:8" x14ac:dyDescent="0.3">
      <c r="H169" s="11"/>
    </row>
    <row r="170" spans="8:8" x14ac:dyDescent="0.3">
      <c r="H170" s="11"/>
    </row>
    <row r="171" spans="8:8" x14ac:dyDescent="0.3">
      <c r="H171" s="11"/>
    </row>
    <row r="172" spans="8:8" x14ac:dyDescent="0.3">
      <c r="H172" s="11"/>
    </row>
    <row r="173" spans="8:8" x14ac:dyDescent="0.3">
      <c r="H173" s="11"/>
    </row>
    <row r="174" spans="8:8" x14ac:dyDescent="0.3">
      <c r="H174" s="11"/>
    </row>
    <row r="175" spans="8:8" x14ac:dyDescent="0.3">
      <c r="H175" s="11"/>
    </row>
    <row r="176" spans="8:8" x14ac:dyDescent="0.3">
      <c r="H176" s="11"/>
    </row>
    <row r="177" spans="8:8" x14ac:dyDescent="0.3">
      <c r="H177" s="11"/>
    </row>
    <row r="178" spans="8:8" x14ac:dyDescent="0.3">
      <c r="H178" s="11"/>
    </row>
    <row r="179" spans="8:8" x14ac:dyDescent="0.3">
      <c r="H179" s="11"/>
    </row>
    <row r="180" spans="8:8" x14ac:dyDescent="0.3">
      <c r="H180" s="11"/>
    </row>
    <row r="181" spans="8:8" x14ac:dyDescent="0.3">
      <c r="H181" s="11"/>
    </row>
    <row r="182" spans="8:8" x14ac:dyDescent="0.3">
      <c r="H182" s="11"/>
    </row>
    <row r="183" spans="8:8" x14ac:dyDescent="0.3">
      <c r="H183" s="11"/>
    </row>
    <row r="184" spans="8:8" x14ac:dyDescent="0.3">
      <c r="H184" s="11"/>
    </row>
    <row r="185" spans="8:8" x14ac:dyDescent="0.3">
      <c r="H185" s="11"/>
    </row>
    <row r="186" spans="8:8" x14ac:dyDescent="0.3">
      <c r="H186" s="11"/>
    </row>
    <row r="187" spans="8:8" x14ac:dyDescent="0.3">
      <c r="H187" s="11"/>
    </row>
    <row r="188" spans="8:8" x14ac:dyDescent="0.3">
      <c r="H188" s="11"/>
    </row>
    <row r="189" spans="8:8" x14ac:dyDescent="0.3">
      <c r="H189" s="11"/>
    </row>
    <row r="190" spans="8:8" x14ac:dyDescent="0.3">
      <c r="H190" s="11"/>
    </row>
    <row r="191" spans="8:8" x14ac:dyDescent="0.3">
      <c r="H191" s="11"/>
    </row>
    <row r="192" spans="8:8" x14ac:dyDescent="0.3">
      <c r="H192" s="11"/>
    </row>
    <row r="193" spans="8:8" x14ac:dyDescent="0.3">
      <c r="H193" s="11"/>
    </row>
    <row r="194" spans="8:8" x14ac:dyDescent="0.3">
      <c r="H194" s="11"/>
    </row>
    <row r="195" spans="8:8" x14ac:dyDescent="0.3">
      <c r="H195" s="11"/>
    </row>
    <row r="196" spans="8:8" x14ac:dyDescent="0.3">
      <c r="H196" s="11"/>
    </row>
    <row r="197" spans="8:8" x14ac:dyDescent="0.3">
      <c r="H197" s="11"/>
    </row>
    <row r="198" spans="8:8" x14ac:dyDescent="0.3">
      <c r="H198" s="11"/>
    </row>
    <row r="199" spans="8:8" x14ac:dyDescent="0.3">
      <c r="H199" s="11"/>
    </row>
    <row r="200" spans="8:8" x14ac:dyDescent="0.3">
      <c r="H200" s="11"/>
    </row>
    <row r="201" spans="8:8" x14ac:dyDescent="0.3">
      <c r="H201" s="11"/>
    </row>
    <row r="202" spans="8:8" x14ac:dyDescent="0.3">
      <c r="H202" s="11"/>
    </row>
    <row r="203" spans="8:8" x14ac:dyDescent="0.3">
      <c r="H203" s="11"/>
    </row>
    <row r="204" spans="8:8" x14ac:dyDescent="0.3">
      <c r="H204" s="11"/>
    </row>
    <row r="205" spans="8:8" x14ac:dyDescent="0.3">
      <c r="H205" s="11"/>
    </row>
    <row r="206" spans="8:8" x14ac:dyDescent="0.3">
      <c r="H206" s="11"/>
    </row>
    <row r="207" spans="8:8" x14ac:dyDescent="0.3">
      <c r="H207" s="11"/>
    </row>
    <row r="208" spans="8:8" x14ac:dyDescent="0.3">
      <c r="H208" s="11"/>
    </row>
    <row r="209" spans="8:8" x14ac:dyDescent="0.3">
      <c r="H209" s="11"/>
    </row>
    <row r="210" spans="8:8" x14ac:dyDescent="0.3">
      <c r="H210" s="11"/>
    </row>
    <row r="211" spans="8:8" x14ac:dyDescent="0.3">
      <c r="H211" s="11"/>
    </row>
    <row r="212" spans="8:8" x14ac:dyDescent="0.3">
      <c r="H212" s="11"/>
    </row>
    <row r="213" spans="8:8" x14ac:dyDescent="0.3">
      <c r="H213" s="11"/>
    </row>
    <row r="214" spans="8:8" x14ac:dyDescent="0.3">
      <c r="H214" s="11"/>
    </row>
    <row r="215" spans="8:8" x14ac:dyDescent="0.3">
      <c r="H215" s="11"/>
    </row>
    <row r="216" spans="8:8" x14ac:dyDescent="0.3">
      <c r="H216" s="11"/>
    </row>
    <row r="217" spans="8:8" x14ac:dyDescent="0.3">
      <c r="H217" s="11"/>
    </row>
    <row r="218" spans="8:8" x14ac:dyDescent="0.3">
      <c r="H218" s="11"/>
    </row>
    <row r="219" spans="8:8" x14ac:dyDescent="0.3">
      <c r="H219" s="11"/>
    </row>
    <row r="220" spans="8:8" x14ac:dyDescent="0.3">
      <c r="H220" s="11"/>
    </row>
    <row r="221" spans="8:8" x14ac:dyDescent="0.3">
      <c r="H221" s="11"/>
    </row>
    <row r="222" spans="8:8" x14ac:dyDescent="0.3">
      <c r="H222" s="11"/>
    </row>
    <row r="223" spans="8:8" x14ac:dyDescent="0.3">
      <c r="H223" s="11"/>
    </row>
    <row r="224" spans="8:8" x14ac:dyDescent="0.3">
      <c r="H224" s="11"/>
    </row>
    <row r="225" spans="8:8" x14ac:dyDescent="0.3">
      <c r="H225" s="11"/>
    </row>
    <row r="226" spans="8:8" x14ac:dyDescent="0.3">
      <c r="H226" s="11"/>
    </row>
    <row r="227" spans="8:8" x14ac:dyDescent="0.3">
      <c r="H227" s="11"/>
    </row>
    <row r="228" spans="8:8" x14ac:dyDescent="0.3">
      <c r="H228" s="11"/>
    </row>
    <row r="229" spans="8:8" x14ac:dyDescent="0.3">
      <c r="H229" s="11"/>
    </row>
    <row r="230" spans="8:8" x14ac:dyDescent="0.3">
      <c r="H230" s="11"/>
    </row>
    <row r="231" spans="8:8" x14ac:dyDescent="0.3">
      <c r="H231" s="11"/>
    </row>
    <row r="232" spans="8:8" x14ac:dyDescent="0.3">
      <c r="H232" s="11"/>
    </row>
    <row r="233" spans="8:8" x14ac:dyDescent="0.3">
      <c r="H233" s="11"/>
    </row>
    <row r="234" spans="8:8" x14ac:dyDescent="0.3">
      <c r="H234" s="11"/>
    </row>
    <row r="235" spans="8:8" x14ac:dyDescent="0.3">
      <c r="H235" s="11"/>
    </row>
    <row r="236" spans="8:8" x14ac:dyDescent="0.3">
      <c r="H236" s="11"/>
    </row>
    <row r="237" spans="8:8" x14ac:dyDescent="0.3">
      <c r="H237" s="11"/>
    </row>
    <row r="238" spans="8:8" x14ac:dyDescent="0.3">
      <c r="H238" s="11"/>
    </row>
    <row r="239" spans="8:8" x14ac:dyDescent="0.3">
      <c r="H239" s="11"/>
    </row>
    <row r="240" spans="8:8" x14ac:dyDescent="0.3">
      <c r="H240" s="11"/>
    </row>
    <row r="241" spans="8:8" x14ac:dyDescent="0.3">
      <c r="H241" s="11"/>
    </row>
    <row r="242" spans="8:8" x14ac:dyDescent="0.3">
      <c r="H242" s="11"/>
    </row>
    <row r="243" spans="8:8" x14ac:dyDescent="0.3">
      <c r="H243" s="11"/>
    </row>
    <row r="244" spans="8:8" x14ac:dyDescent="0.3">
      <c r="H244" s="11"/>
    </row>
    <row r="245" spans="8:8" x14ac:dyDescent="0.3">
      <c r="H245" s="11"/>
    </row>
    <row r="246" spans="8:8" x14ac:dyDescent="0.3">
      <c r="H246" s="11"/>
    </row>
    <row r="247" spans="8:8" x14ac:dyDescent="0.3">
      <c r="H247" s="11"/>
    </row>
    <row r="248" spans="8:8" x14ac:dyDescent="0.3">
      <c r="H248" s="11"/>
    </row>
    <row r="249" spans="8:8" x14ac:dyDescent="0.3">
      <c r="H249" s="11"/>
    </row>
    <row r="250" spans="8:8" x14ac:dyDescent="0.3">
      <c r="H250" s="11"/>
    </row>
    <row r="251" spans="8:8" x14ac:dyDescent="0.3">
      <c r="H251" s="11"/>
    </row>
    <row r="252" spans="8:8" x14ac:dyDescent="0.3">
      <c r="H252" s="11"/>
    </row>
    <row r="253" spans="8:8" x14ac:dyDescent="0.3">
      <c r="H253" s="11"/>
    </row>
    <row r="254" spans="8:8" x14ac:dyDescent="0.3">
      <c r="H254" s="11"/>
    </row>
    <row r="255" spans="8:8" x14ac:dyDescent="0.3">
      <c r="H255" s="11"/>
    </row>
    <row r="256" spans="8:8" x14ac:dyDescent="0.3">
      <c r="H256" s="11"/>
    </row>
    <row r="257" spans="8:8" x14ac:dyDescent="0.3">
      <c r="H257" s="11"/>
    </row>
    <row r="258" spans="8:8" x14ac:dyDescent="0.3">
      <c r="H258" s="11"/>
    </row>
    <row r="259" spans="8:8" x14ac:dyDescent="0.3">
      <c r="H259" s="11"/>
    </row>
    <row r="260" spans="8:8" x14ac:dyDescent="0.3">
      <c r="H260" s="11"/>
    </row>
    <row r="261" spans="8:8" x14ac:dyDescent="0.3">
      <c r="H261" s="11"/>
    </row>
    <row r="262" spans="8:8" x14ac:dyDescent="0.3">
      <c r="H262" s="11"/>
    </row>
    <row r="263" spans="8:8" x14ac:dyDescent="0.3">
      <c r="H263" s="11"/>
    </row>
    <row r="264" spans="8:8" x14ac:dyDescent="0.3">
      <c r="H264" s="11"/>
    </row>
    <row r="265" spans="8:8" x14ac:dyDescent="0.3">
      <c r="H265" s="11"/>
    </row>
    <row r="266" spans="8:8" x14ac:dyDescent="0.3">
      <c r="H266" s="11"/>
    </row>
    <row r="267" spans="8:8" x14ac:dyDescent="0.3">
      <c r="H267" s="11"/>
    </row>
    <row r="268" spans="8:8" x14ac:dyDescent="0.3">
      <c r="H268" s="11"/>
    </row>
    <row r="269" spans="8:8" x14ac:dyDescent="0.3">
      <c r="H269" s="11"/>
    </row>
    <row r="270" spans="8:8" x14ac:dyDescent="0.3">
      <c r="H270" s="11"/>
    </row>
    <row r="271" spans="8:8" x14ac:dyDescent="0.3">
      <c r="H271" s="11"/>
    </row>
    <row r="272" spans="8:8" x14ac:dyDescent="0.3">
      <c r="H272" s="11"/>
    </row>
    <row r="273" spans="8:8" x14ac:dyDescent="0.3">
      <c r="H273" s="11"/>
    </row>
    <row r="274" spans="8:8" x14ac:dyDescent="0.3">
      <c r="H274" s="11"/>
    </row>
    <row r="275" spans="8:8" x14ac:dyDescent="0.3">
      <c r="H275" s="11"/>
    </row>
    <row r="276" spans="8:8" x14ac:dyDescent="0.3">
      <c r="H276" s="11"/>
    </row>
    <row r="277" spans="8:8" x14ac:dyDescent="0.3">
      <c r="H277" s="11"/>
    </row>
    <row r="278" spans="8:8" x14ac:dyDescent="0.3">
      <c r="H278" s="11"/>
    </row>
    <row r="279" spans="8:8" x14ac:dyDescent="0.3">
      <c r="H279" s="11"/>
    </row>
    <row r="280" spans="8:8" x14ac:dyDescent="0.3">
      <c r="H280" s="11"/>
    </row>
    <row r="281" spans="8:8" x14ac:dyDescent="0.3">
      <c r="H281" s="11"/>
    </row>
    <row r="282" spans="8:8" x14ac:dyDescent="0.3">
      <c r="H282" s="11"/>
    </row>
    <row r="283" spans="8:8" x14ac:dyDescent="0.3">
      <c r="H283" s="11"/>
    </row>
    <row r="284" spans="8:8" x14ac:dyDescent="0.3">
      <c r="H284" s="11"/>
    </row>
    <row r="285" spans="8:8" x14ac:dyDescent="0.3">
      <c r="H285" s="11"/>
    </row>
    <row r="286" spans="8:8" x14ac:dyDescent="0.3">
      <c r="H286" s="11"/>
    </row>
    <row r="287" spans="8:8" x14ac:dyDescent="0.3">
      <c r="H287" s="11"/>
    </row>
    <row r="288" spans="8:8" x14ac:dyDescent="0.3">
      <c r="H288" s="11"/>
    </row>
    <row r="289" spans="8:8" x14ac:dyDescent="0.3">
      <c r="H289" s="11"/>
    </row>
    <row r="290" spans="8:8" x14ac:dyDescent="0.3">
      <c r="H290" s="11"/>
    </row>
    <row r="291" spans="8:8" x14ac:dyDescent="0.3">
      <c r="H291" s="11"/>
    </row>
    <row r="292" spans="8:8" x14ac:dyDescent="0.3">
      <c r="H292" s="11"/>
    </row>
    <row r="293" spans="8:8" x14ac:dyDescent="0.3">
      <c r="H293" s="11"/>
    </row>
    <row r="294" spans="8:8" x14ac:dyDescent="0.3">
      <c r="H294" s="11"/>
    </row>
    <row r="295" spans="8:8" x14ac:dyDescent="0.3">
      <c r="H295" s="11"/>
    </row>
    <row r="296" spans="8:8" x14ac:dyDescent="0.3">
      <c r="H296" s="11"/>
    </row>
    <row r="297" spans="8:8" x14ac:dyDescent="0.3">
      <c r="H297" s="11"/>
    </row>
    <row r="298" spans="8:8" x14ac:dyDescent="0.3">
      <c r="H298" s="11"/>
    </row>
    <row r="299" spans="8:8" x14ac:dyDescent="0.3">
      <c r="H299" s="11"/>
    </row>
    <row r="300" spans="8:8" x14ac:dyDescent="0.3">
      <c r="H300" s="11"/>
    </row>
    <row r="301" spans="8:8" x14ac:dyDescent="0.3">
      <c r="H301" s="11"/>
    </row>
    <row r="302" spans="8:8" x14ac:dyDescent="0.3">
      <c r="H302" s="11"/>
    </row>
    <row r="303" spans="8:8" x14ac:dyDescent="0.3">
      <c r="H303" s="11"/>
    </row>
    <row r="304" spans="8:8" x14ac:dyDescent="0.3">
      <c r="H304" s="11"/>
    </row>
    <row r="305" spans="8:8" x14ac:dyDescent="0.3">
      <c r="H305" s="11"/>
    </row>
    <row r="306" spans="8:8" x14ac:dyDescent="0.3">
      <c r="H306" s="11"/>
    </row>
    <row r="307" spans="8:8" x14ac:dyDescent="0.3">
      <c r="H307" s="11"/>
    </row>
    <row r="308" spans="8:8" x14ac:dyDescent="0.3">
      <c r="H308" s="11"/>
    </row>
    <row r="309" spans="8:8" x14ac:dyDescent="0.3">
      <c r="H309" s="11"/>
    </row>
    <row r="310" spans="8:8" x14ac:dyDescent="0.3">
      <c r="H310" s="11"/>
    </row>
    <row r="311" spans="8:8" x14ac:dyDescent="0.3">
      <c r="H311" s="11"/>
    </row>
    <row r="312" spans="8:8" x14ac:dyDescent="0.3">
      <c r="H312" s="11"/>
    </row>
    <row r="313" spans="8:8" x14ac:dyDescent="0.3">
      <c r="H313" s="11"/>
    </row>
    <row r="314" spans="8:8" x14ac:dyDescent="0.3">
      <c r="H314" s="11"/>
    </row>
    <row r="315" spans="8:8" x14ac:dyDescent="0.3">
      <c r="H315" s="11"/>
    </row>
    <row r="316" spans="8:8" x14ac:dyDescent="0.3">
      <c r="H316" s="11"/>
    </row>
    <row r="317" spans="8:8" x14ac:dyDescent="0.3">
      <c r="H317" s="11"/>
    </row>
    <row r="318" spans="8:8" x14ac:dyDescent="0.3">
      <c r="H318" s="11"/>
    </row>
    <row r="319" spans="8:8" x14ac:dyDescent="0.3">
      <c r="H319" s="11"/>
    </row>
    <row r="320" spans="8:8" x14ac:dyDescent="0.3">
      <c r="H320" s="11"/>
    </row>
    <row r="321" spans="8:8" x14ac:dyDescent="0.3">
      <c r="H321" s="11"/>
    </row>
    <row r="322" spans="8:8" x14ac:dyDescent="0.3">
      <c r="H322" s="11"/>
    </row>
    <row r="323" spans="8:8" x14ac:dyDescent="0.3">
      <c r="H323" s="11"/>
    </row>
    <row r="324" spans="8:8" x14ac:dyDescent="0.3">
      <c r="H324" s="11"/>
    </row>
    <row r="325" spans="8:8" x14ac:dyDescent="0.3">
      <c r="H325" s="11"/>
    </row>
    <row r="326" spans="8:8" x14ac:dyDescent="0.3">
      <c r="H326" s="11"/>
    </row>
    <row r="327" spans="8:8" x14ac:dyDescent="0.3">
      <c r="H327" s="11"/>
    </row>
    <row r="328" spans="8:8" x14ac:dyDescent="0.3">
      <c r="H328" s="11"/>
    </row>
    <row r="329" spans="8:8" x14ac:dyDescent="0.3">
      <c r="H329" s="11"/>
    </row>
    <row r="330" spans="8:8" x14ac:dyDescent="0.3">
      <c r="H330" s="11"/>
    </row>
    <row r="331" spans="8:8" x14ac:dyDescent="0.3">
      <c r="H331" s="11"/>
    </row>
    <row r="332" spans="8:8" x14ac:dyDescent="0.3">
      <c r="H332" s="11"/>
    </row>
    <row r="333" spans="8:8" x14ac:dyDescent="0.3">
      <c r="H333" s="11"/>
    </row>
    <row r="334" spans="8:8" x14ac:dyDescent="0.3">
      <c r="H334" s="11"/>
    </row>
    <row r="335" spans="8:8" x14ac:dyDescent="0.3">
      <c r="H335" s="11"/>
    </row>
    <row r="336" spans="8:8" x14ac:dyDescent="0.3">
      <c r="H336" s="11"/>
    </row>
    <row r="337" spans="8:8" x14ac:dyDescent="0.3">
      <c r="H337" s="11"/>
    </row>
    <row r="338" spans="8:8" x14ac:dyDescent="0.3">
      <c r="H338" s="11"/>
    </row>
    <row r="339" spans="8:8" x14ac:dyDescent="0.3">
      <c r="H339" s="11"/>
    </row>
    <row r="340" spans="8:8" x14ac:dyDescent="0.3">
      <c r="H340" s="11"/>
    </row>
    <row r="341" spans="8:8" x14ac:dyDescent="0.3">
      <c r="H341" s="11"/>
    </row>
    <row r="342" spans="8:8" x14ac:dyDescent="0.3">
      <c r="H342" s="11"/>
    </row>
    <row r="343" spans="8:8" x14ac:dyDescent="0.3">
      <c r="H343" s="11"/>
    </row>
    <row r="344" spans="8:8" x14ac:dyDescent="0.3">
      <c r="H344" s="11"/>
    </row>
    <row r="345" spans="8:8" x14ac:dyDescent="0.3">
      <c r="H345" s="11"/>
    </row>
  </sheetData>
  <mergeCells count="1">
    <mergeCell ref="A1:L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81274-3B22-4A08-9095-EC1A7C65BDAB}">
  <sheetPr codeName="Sheet3"/>
  <dimension ref="A1:H52"/>
  <sheetViews>
    <sheetView topLeftCell="A31" zoomScale="86" workbookViewId="0">
      <selection activeCell="H53" sqref="H53"/>
    </sheetView>
  </sheetViews>
  <sheetFormatPr defaultRowHeight="14.4" x14ac:dyDescent="0.3"/>
  <cols>
    <col min="1" max="1" width="10.44140625" customWidth="1"/>
    <col min="2" max="2" width="23.33203125" customWidth="1"/>
    <col min="3" max="3" width="36" customWidth="1"/>
    <col min="4" max="4" width="13.109375" customWidth="1"/>
    <col min="5" max="5" width="17.109375" customWidth="1"/>
    <col min="6" max="6" width="37.6640625" customWidth="1"/>
    <col min="7" max="7" width="11.88671875" style="65" customWidth="1"/>
  </cols>
  <sheetData>
    <row r="1" spans="1:8" x14ac:dyDescent="0.3">
      <c r="A1" s="163" t="s">
        <v>10</v>
      </c>
      <c r="B1" s="164"/>
      <c r="C1" s="164"/>
      <c r="D1" s="164"/>
      <c r="E1" s="164"/>
      <c r="F1" s="164"/>
      <c r="G1" s="164"/>
      <c r="H1" s="164"/>
    </row>
    <row r="2" spans="1:8" x14ac:dyDescent="0.3">
      <c r="A2" s="2" t="s">
        <v>12</v>
      </c>
      <c r="B2" s="2" t="s">
        <v>11</v>
      </c>
      <c r="C2" s="2" t="s">
        <v>13</v>
      </c>
      <c r="D2" s="2" t="s">
        <v>9</v>
      </c>
      <c r="E2" s="2" t="s">
        <v>8</v>
      </c>
      <c r="F2" s="2" t="s">
        <v>14</v>
      </c>
      <c r="G2" s="108" t="s">
        <v>7</v>
      </c>
      <c r="H2" s="107" t="s">
        <v>120</v>
      </c>
    </row>
    <row r="3" spans="1:8" x14ac:dyDescent="0.3">
      <c r="A3">
        <v>101</v>
      </c>
      <c r="B3" s="90" t="s">
        <v>69</v>
      </c>
      <c r="C3" t="s">
        <v>131</v>
      </c>
      <c r="D3" t="s">
        <v>16</v>
      </c>
      <c r="F3" t="s">
        <v>20</v>
      </c>
      <c r="G3" s="65">
        <v>17.989999999999998</v>
      </c>
      <c r="H3">
        <v>8</v>
      </c>
    </row>
    <row r="4" spans="1:8" x14ac:dyDescent="0.3">
      <c r="A4">
        <v>102</v>
      </c>
      <c r="B4" s="90" t="s">
        <v>70</v>
      </c>
      <c r="C4" t="s">
        <v>131</v>
      </c>
      <c r="D4" t="s">
        <v>16</v>
      </c>
      <c r="F4" t="s">
        <v>18</v>
      </c>
      <c r="G4" s="65">
        <v>24.99</v>
      </c>
      <c r="H4">
        <v>4</v>
      </c>
    </row>
    <row r="5" spans="1:8" x14ac:dyDescent="0.3">
      <c r="A5">
        <v>103</v>
      </c>
      <c r="B5" s="90" t="s">
        <v>71</v>
      </c>
      <c r="C5" t="s">
        <v>131</v>
      </c>
      <c r="D5" t="s">
        <v>16</v>
      </c>
      <c r="F5" t="s">
        <v>21</v>
      </c>
      <c r="G5" s="65">
        <v>14.99</v>
      </c>
      <c r="H5">
        <v>8</v>
      </c>
    </row>
    <row r="6" spans="1:8" x14ac:dyDescent="0.3">
      <c r="A6">
        <v>104</v>
      </c>
      <c r="B6" s="90" t="s">
        <v>72</v>
      </c>
      <c r="C6" t="s">
        <v>131</v>
      </c>
      <c r="D6" t="s">
        <v>16</v>
      </c>
      <c r="F6" t="s">
        <v>22</v>
      </c>
      <c r="G6" s="65">
        <v>21.99</v>
      </c>
      <c r="H6">
        <v>4</v>
      </c>
    </row>
    <row r="7" spans="1:8" x14ac:dyDescent="0.3">
      <c r="A7">
        <v>105</v>
      </c>
      <c r="B7" s="90" t="s">
        <v>73</v>
      </c>
      <c r="C7" t="s">
        <v>131</v>
      </c>
      <c r="D7" t="s">
        <v>16</v>
      </c>
      <c r="F7" t="s">
        <v>23</v>
      </c>
      <c r="G7" s="65">
        <v>18.989999999999998</v>
      </c>
      <c r="H7">
        <v>4</v>
      </c>
    </row>
    <row r="8" spans="1:8" x14ac:dyDescent="0.3">
      <c r="A8">
        <v>106</v>
      </c>
      <c r="B8" s="90" t="s">
        <v>74</v>
      </c>
      <c r="C8" t="s">
        <v>131</v>
      </c>
      <c r="D8" t="s">
        <v>16</v>
      </c>
      <c r="F8" t="s">
        <v>17</v>
      </c>
      <c r="G8" s="65">
        <v>18.989999999999998</v>
      </c>
      <c r="H8">
        <v>4</v>
      </c>
    </row>
    <row r="9" spans="1:8" x14ac:dyDescent="0.3">
      <c r="A9">
        <v>107</v>
      </c>
      <c r="B9" s="90" t="s">
        <v>75</v>
      </c>
      <c r="C9" t="s">
        <v>131</v>
      </c>
      <c r="D9" t="s">
        <v>16</v>
      </c>
      <c r="F9" t="s">
        <v>24</v>
      </c>
      <c r="G9" s="65">
        <v>14.99</v>
      </c>
      <c r="H9">
        <v>4</v>
      </c>
    </row>
    <row r="10" spans="1:8" x14ac:dyDescent="0.3">
      <c r="A10">
        <v>108</v>
      </c>
      <c r="B10" s="90" t="s">
        <v>76</v>
      </c>
      <c r="C10" t="s">
        <v>131</v>
      </c>
      <c r="D10" t="s">
        <v>16</v>
      </c>
      <c r="F10" t="s">
        <v>25</v>
      </c>
      <c r="G10" s="65">
        <v>17.989999999999998</v>
      </c>
      <c r="H10">
        <v>4</v>
      </c>
    </row>
    <row r="11" spans="1:8" x14ac:dyDescent="0.3">
      <c r="A11">
        <v>109</v>
      </c>
      <c r="B11" s="90" t="s">
        <v>77</v>
      </c>
      <c r="C11" t="s">
        <v>131</v>
      </c>
      <c r="D11" t="s">
        <v>16</v>
      </c>
      <c r="F11" t="s">
        <v>19</v>
      </c>
      <c r="G11" s="65">
        <v>18.989999999999998</v>
      </c>
      <c r="H11">
        <v>4</v>
      </c>
    </row>
    <row r="12" spans="1:8" x14ac:dyDescent="0.3">
      <c r="A12">
        <v>110</v>
      </c>
      <c r="B12" s="90" t="s">
        <v>78</v>
      </c>
      <c r="C12" t="s">
        <v>131</v>
      </c>
      <c r="D12" t="s">
        <v>16</v>
      </c>
      <c r="F12" t="s">
        <v>26</v>
      </c>
      <c r="G12" s="65">
        <v>23.99</v>
      </c>
      <c r="H12">
        <v>4</v>
      </c>
    </row>
    <row r="13" spans="1:8" x14ac:dyDescent="0.3">
      <c r="A13">
        <v>111</v>
      </c>
      <c r="B13" s="90" t="s">
        <v>79</v>
      </c>
      <c r="C13" t="s">
        <v>131</v>
      </c>
      <c r="D13" t="s">
        <v>16</v>
      </c>
      <c r="F13" t="s">
        <v>20</v>
      </c>
      <c r="G13" s="65">
        <v>24.99</v>
      </c>
      <c r="H13">
        <v>4</v>
      </c>
    </row>
    <row r="14" spans="1:8" x14ac:dyDescent="0.3">
      <c r="A14">
        <v>112</v>
      </c>
      <c r="B14" s="90" t="s">
        <v>80</v>
      </c>
      <c r="C14" t="s">
        <v>131</v>
      </c>
      <c r="D14" t="s">
        <v>16</v>
      </c>
      <c r="F14" t="s">
        <v>18</v>
      </c>
      <c r="G14" s="65">
        <v>22.99</v>
      </c>
      <c r="H14">
        <v>4</v>
      </c>
    </row>
    <row r="15" spans="1:8" x14ac:dyDescent="0.3">
      <c r="A15">
        <v>113</v>
      </c>
      <c r="B15" s="90" t="s">
        <v>81</v>
      </c>
      <c r="C15" t="s">
        <v>131</v>
      </c>
      <c r="D15" t="s">
        <v>16</v>
      </c>
      <c r="F15" t="s">
        <v>21</v>
      </c>
      <c r="G15" s="65">
        <v>22.99</v>
      </c>
      <c r="H15">
        <v>4</v>
      </c>
    </row>
    <row r="16" spans="1:8" x14ac:dyDescent="0.3">
      <c r="A16">
        <v>114</v>
      </c>
      <c r="B16" s="90">
        <v>4406</v>
      </c>
      <c r="C16" t="s">
        <v>131</v>
      </c>
      <c r="D16" t="s">
        <v>16</v>
      </c>
      <c r="F16" t="s">
        <v>22</v>
      </c>
      <c r="G16" s="65">
        <v>16.989999999999998</v>
      </c>
      <c r="H16">
        <v>4</v>
      </c>
    </row>
    <row r="17" spans="1:8" x14ac:dyDescent="0.3">
      <c r="A17">
        <v>115</v>
      </c>
      <c r="B17" s="90" t="s">
        <v>82</v>
      </c>
      <c r="C17" t="s">
        <v>131</v>
      </c>
      <c r="D17" t="s">
        <v>16</v>
      </c>
      <c r="F17" t="s">
        <v>23</v>
      </c>
      <c r="G17" s="65">
        <v>14.99</v>
      </c>
      <c r="H17">
        <v>4</v>
      </c>
    </row>
    <row r="18" spans="1:8" x14ac:dyDescent="0.3">
      <c r="A18">
        <v>116</v>
      </c>
      <c r="B18" s="90" t="s">
        <v>83</v>
      </c>
      <c r="C18" t="s">
        <v>131</v>
      </c>
      <c r="D18" t="s">
        <v>16</v>
      </c>
      <c r="F18" t="s">
        <v>17</v>
      </c>
      <c r="G18" s="65">
        <v>14.99</v>
      </c>
      <c r="H18">
        <v>4</v>
      </c>
    </row>
    <row r="19" spans="1:8" x14ac:dyDescent="0.3">
      <c r="A19">
        <v>117</v>
      </c>
      <c r="B19" s="90" t="s">
        <v>84</v>
      </c>
      <c r="C19" t="s">
        <v>131</v>
      </c>
      <c r="D19" t="s">
        <v>16</v>
      </c>
      <c r="F19" t="s">
        <v>24</v>
      </c>
      <c r="G19" s="65">
        <v>15.99</v>
      </c>
      <c r="H19">
        <v>4</v>
      </c>
    </row>
    <row r="20" spans="1:8" x14ac:dyDescent="0.3">
      <c r="A20">
        <v>118</v>
      </c>
      <c r="B20" s="90" t="s">
        <v>85</v>
      </c>
      <c r="C20" t="s">
        <v>131</v>
      </c>
      <c r="D20" t="s">
        <v>16</v>
      </c>
      <c r="F20" t="s">
        <v>25</v>
      </c>
      <c r="G20" s="65">
        <v>23.99</v>
      </c>
      <c r="H20">
        <v>5</v>
      </c>
    </row>
    <row r="21" spans="1:8" x14ac:dyDescent="0.3">
      <c r="A21">
        <v>119</v>
      </c>
      <c r="B21" s="90" t="s">
        <v>86</v>
      </c>
      <c r="C21" t="s">
        <v>131</v>
      </c>
      <c r="D21" t="s">
        <v>16</v>
      </c>
      <c r="F21" t="s">
        <v>19</v>
      </c>
      <c r="G21" s="65">
        <v>24.99</v>
      </c>
      <c r="H21">
        <v>3</v>
      </c>
    </row>
    <row r="22" spans="1:8" x14ac:dyDescent="0.3">
      <c r="A22">
        <v>120</v>
      </c>
      <c r="B22" s="90" t="s">
        <v>87</v>
      </c>
      <c r="C22" t="s">
        <v>131</v>
      </c>
      <c r="D22" t="s">
        <v>16</v>
      </c>
      <c r="F22" t="s">
        <v>26</v>
      </c>
      <c r="G22" s="65">
        <v>18.989999999999998</v>
      </c>
      <c r="H22">
        <v>9</v>
      </c>
    </row>
    <row r="23" spans="1:8" x14ac:dyDescent="0.3">
      <c r="A23">
        <v>121</v>
      </c>
      <c r="B23" s="90" t="s">
        <v>88</v>
      </c>
      <c r="C23" t="s">
        <v>131</v>
      </c>
      <c r="D23" t="s">
        <v>16</v>
      </c>
      <c r="F23" t="s">
        <v>20</v>
      </c>
      <c r="G23" s="65">
        <v>31.99</v>
      </c>
      <c r="H23">
        <v>3</v>
      </c>
    </row>
    <row r="24" spans="1:8" x14ac:dyDescent="0.3">
      <c r="A24">
        <v>122</v>
      </c>
      <c r="B24" s="90" t="s">
        <v>89</v>
      </c>
      <c r="C24" t="s">
        <v>131</v>
      </c>
      <c r="D24" t="s">
        <v>16</v>
      </c>
      <c r="F24" t="s">
        <v>18</v>
      </c>
      <c r="G24" s="65">
        <v>31.99</v>
      </c>
      <c r="H24">
        <v>3</v>
      </c>
    </row>
    <row r="25" spans="1:8" x14ac:dyDescent="0.3">
      <c r="A25">
        <v>123</v>
      </c>
      <c r="B25" s="90" t="s">
        <v>90</v>
      </c>
      <c r="C25" t="s">
        <v>131</v>
      </c>
      <c r="D25" t="s">
        <v>16</v>
      </c>
      <c r="F25" t="s">
        <v>21</v>
      </c>
      <c r="G25" s="65">
        <v>8.99</v>
      </c>
      <c r="H25">
        <v>11</v>
      </c>
    </row>
    <row r="26" spans="1:8" x14ac:dyDescent="0.3">
      <c r="A26">
        <v>124</v>
      </c>
      <c r="B26" t="s">
        <v>91</v>
      </c>
      <c r="C26" t="s">
        <v>132</v>
      </c>
      <c r="D26" t="s">
        <v>16</v>
      </c>
      <c r="F26" t="s">
        <v>22</v>
      </c>
      <c r="G26" s="65">
        <v>35</v>
      </c>
      <c r="H26">
        <v>48</v>
      </c>
    </row>
    <row r="27" spans="1:8" x14ac:dyDescent="0.3">
      <c r="A27">
        <v>125</v>
      </c>
      <c r="B27" t="s">
        <v>92</v>
      </c>
      <c r="C27" t="s">
        <v>132</v>
      </c>
      <c r="D27" t="s">
        <v>16</v>
      </c>
      <c r="F27" t="s">
        <v>23</v>
      </c>
      <c r="G27" s="65">
        <v>35</v>
      </c>
      <c r="H27">
        <v>30</v>
      </c>
    </row>
    <row r="28" spans="1:8" x14ac:dyDescent="0.3">
      <c r="A28">
        <v>126</v>
      </c>
      <c r="B28" t="s">
        <v>93</v>
      </c>
      <c r="C28" t="s">
        <v>132</v>
      </c>
      <c r="D28" t="s">
        <v>16</v>
      </c>
      <c r="F28" t="s">
        <v>17</v>
      </c>
      <c r="G28" s="65">
        <v>35</v>
      </c>
      <c r="H28">
        <v>15</v>
      </c>
    </row>
    <row r="29" spans="1:8" x14ac:dyDescent="0.3">
      <c r="A29">
        <v>127</v>
      </c>
      <c r="B29" t="s">
        <v>110</v>
      </c>
      <c r="C29" t="s">
        <v>15</v>
      </c>
      <c r="D29" t="s">
        <v>16</v>
      </c>
      <c r="F29" t="s">
        <v>24</v>
      </c>
      <c r="G29" s="65">
        <v>35</v>
      </c>
      <c r="H29">
        <v>32</v>
      </c>
    </row>
    <row r="30" spans="1:8" x14ac:dyDescent="0.3">
      <c r="A30">
        <v>128</v>
      </c>
      <c r="B30" t="s">
        <v>114</v>
      </c>
      <c r="C30" t="s">
        <v>15</v>
      </c>
      <c r="D30" t="s">
        <v>16</v>
      </c>
      <c r="F30" t="s">
        <v>25</v>
      </c>
      <c r="G30" s="65">
        <v>35</v>
      </c>
      <c r="H30">
        <v>31</v>
      </c>
    </row>
    <row r="31" spans="1:8" x14ac:dyDescent="0.3">
      <c r="A31">
        <v>129</v>
      </c>
      <c r="B31" t="s">
        <v>113</v>
      </c>
      <c r="C31" t="s">
        <v>15</v>
      </c>
      <c r="D31" t="s">
        <v>16</v>
      </c>
      <c r="F31" t="s">
        <v>19</v>
      </c>
      <c r="G31" s="65">
        <v>35</v>
      </c>
      <c r="H31">
        <v>16</v>
      </c>
    </row>
    <row r="32" spans="1:8" x14ac:dyDescent="0.3">
      <c r="A32">
        <v>130</v>
      </c>
      <c r="B32" t="s">
        <v>111</v>
      </c>
      <c r="C32" t="s">
        <v>15</v>
      </c>
      <c r="D32" t="s">
        <v>16</v>
      </c>
      <c r="F32" t="s">
        <v>26</v>
      </c>
      <c r="G32" s="65">
        <v>35</v>
      </c>
      <c r="H32">
        <v>35</v>
      </c>
    </row>
    <row r="33" spans="1:8" x14ac:dyDescent="0.3">
      <c r="A33">
        <v>131</v>
      </c>
      <c r="B33" t="s">
        <v>112</v>
      </c>
      <c r="C33" t="s">
        <v>15</v>
      </c>
      <c r="D33" t="s">
        <v>16</v>
      </c>
      <c r="F33" t="s">
        <v>20</v>
      </c>
      <c r="G33" s="65">
        <v>35</v>
      </c>
      <c r="H33">
        <v>26</v>
      </c>
    </row>
    <row r="34" spans="1:8" x14ac:dyDescent="0.3">
      <c r="A34">
        <v>132</v>
      </c>
      <c r="B34" t="s">
        <v>115</v>
      </c>
      <c r="C34" t="s">
        <v>15</v>
      </c>
      <c r="D34" t="s">
        <v>16</v>
      </c>
      <c r="F34" t="s">
        <v>18</v>
      </c>
      <c r="G34" s="65">
        <v>35</v>
      </c>
      <c r="H34">
        <v>5</v>
      </c>
    </row>
    <row r="35" spans="1:8" x14ac:dyDescent="0.3">
      <c r="A35">
        <v>133</v>
      </c>
      <c r="B35" t="s">
        <v>116</v>
      </c>
      <c r="C35" t="s">
        <v>15</v>
      </c>
      <c r="D35" t="s">
        <v>16</v>
      </c>
      <c r="F35" t="s">
        <v>21</v>
      </c>
      <c r="G35" s="65">
        <v>35</v>
      </c>
      <c r="H35">
        <v>2</v>
      </c>
    </row>
    <row r="36" spans="1:8" x14ac:dyDescent="0.3">
      <c r="A36">
        <v>134</v>
      </c>
      <c r="B36" t="s">
        <v>117</v>
      </c>
      <c r="C36" t="s">
        <v>15</v>
      </c>
      <c r="D36" t="s">
        <v>16</v>
      </c>
      <c r="F36" t="s">
        <v>22</v>
      </c>
      <c r="G36" s="65">
        <v>90</v>
      </c>
      <c r="H36">
        <v>6</v>
      </c>
    </row>
    <row r="37" spans="1:8" x14ac:dyDescent="0.3">
      <c r="A37">
        <v>135</v>
      </c>
      <c r="B37" t="s">
        <v>118</v>
      </c>
      <c r="C37" t="s">
        <v>15</v>
      </c>
      <c r="D37" t="s">
        <v>16</v>
      </c>
      <c r="F37" t="s">
        <v>23</v>
      </c>
      <c r="G37" s="65">
        <v>90</v>
      </c>
      <c r="H37">
        <v>4</v>
      </c>
    </row>
    <row r="38" spans="1:8" x14ac:dyDescent="0.3">
      <c r="A38">
        <v>136</v>
      </c>
      <c r="B38" t="s">
        <v>119</v>
      </c>
      <c r="C38" t="s">
        <v>15</v>
      </c>
      <c r="D38" t="s">
        <v>16</v>
      </c>
      <c r="F38" t="s">
        <v>17</v>
      </c>
      <c r="G38" s="65">
        <v>90</v>
      </c>
      <c r="H38">
        <v>5</v>
      </c>
    </row>
    <row r="39" spans="1:8" x14ac:dyDescent="0.3">
      <c r="A39">
        <v>137</v>
      </c>
      <c r="B39" t="s">
        <v>138</v>
      </c>
      <c r="C39" t="s">
        <v>160</v>
      </c>
      <c r="D39" t="s">
        <v>130</v>
      </c>
      <c r="F39" t="s">
        <v>17</v>
      </c>
      <c r="G39" s="65">
        <v>65</v>
      </c>
      <c r="H39">
        <v>40</v>
      </c>
    </row>
    <row r="40" spans="1:8" x14ac:dyDescent="0.3">
      <c r="A40">
        <v>138</v>
      </c>
      <c r="B40" t="s">
        <v>136</v>
      </c>
      <c r="C40" t="s">
        <v>160</v>
      </c>
      <c r="D40" t="s">
        <v>130</v>
      </c>
      <c r="F40" t="s">
        <v>17</v>
      </c>
      <c r="G40" s="65">
        <v>65</v>
      </c>
      <c r="H40">
        <v>42</v>
      </c>
    </row>
    <row r="41" spans="1:8" x14ac:dyDescent="0.3">
      <c r="A41">
        <v>139</v>
      </c>
      <c r="B41" t="s">
        <v>137</v>
      </c>
      <c r="C41" t="s">
        <v>160</v>
      </c>
      <c r="D41" t="s">
        <v>130</v>
      </c>
      <c r="F41" t="s">
        <v>17</v>
      </c>
      <c r="G41" s="65">
        <v>65</v>
      </c>
      <c r="H41">
        <v>48</v>
      </c>
    </row>
    <row r="42" spans="1:8" x14ac:dyDescent="0.3">
      <c r="A42">
        <v>140</v>
      </c>
      <c r="B42" t="s">
        <v>139</v>
      </c>
      <c r="C42" t="s">
        <v>150</v>
      </c>
      <c r="D42" t="s">
        <v>16</v>
      </c>
      <c r="F42" t="s">
        <v>17</v>
      </c>
      <c r="G42" s="65">
        <v>135</v>
      </c>
      <c r="H42">
        <v>2</v>
      </c>
    </row>
    <row r="43" spans="1:8" x14ac:dyDescent="0.3">
      <c r="A43">
        <v>141</v>
      </c>
      <c r="B43" t="s">
        <v>141</v>
      </c>
      <c r="C43" t="s">
        <v>150</v>
      </c>
      <c r="D43" t="s">
        <v>16</v>
      </c>
      <c r="F43" t="s">
        <v>17</v>
      </c>
      <c r="G43" s="65">
        <v>135</v>
      </c>
      <c r="H43">
        <v>2</v>
      </c>
    </row>
    <row r="44" spans="1:8" x14ac:dyDescent="0.3">
      <c r="A44">
        <v>142</v>
      </c>
      <c r="B44" t="s">
        <v>140</v>
      </c>
      <c r="C44" t="s">
        <v>150</v>
      </c>
      <c r="D44" t="s">
        <v>16</v>
      </c>
      <c r="F44" t="s">
        <v>17</v>
      </c>
      <c r="G44" s="65">
        <v>135</v>
      </c>
      <c r="H44">
        <v>2</v>
      </c>
    </row>
    <row r="45" spans="1:8" x14ac:dyDescent="0.3">
      <c r="A45">
        <v>143</v>
      </c>
      <c r="B45" t="s">
        <v>142</v>
      </c>
      <c r="C45" t="s">
        <v>150</v>
      </c>
      <c r="D45" t="s">
        <v>16</v>
      </c>
      <c r="F45" t="s">
        <v>17</v>
      </c>
      <c r="G45" s="65">
        <v>135</v>
      </c>
      <c r="H45">
        <v>3</v>
      </c>
    </row>
    <row r="46" spans="1:8" x14ac:dyDescent="0.3">
      <c r="A46">
        <v>144</v>
      </c>
      <c r="B46" t="s">
        <v>149</v>
      </c>
      <c r="C46" t="s">
        <v>150</v>
      </c>
      <c r="D46" t="s">
        <v>16</v>
      </c>
      <c r="F46" t="s">
        <v>17</v>
      </c>
      <c r="G46" s="65">
        <v>135</v>
      </c>
      <c r="H46">
        <v>3</v>
      </c>
    </row>
    <row r="47" spans="1:8" x14ac:dyDescent="0.3">
      <c r="A47">
        <v>145</v>
      </c>
      <c r="B47" t="s">
        <v>143</v>
      </c>
      <c r="C47" t="s">
        <v>150</v>
      </c>
      <c r="D47" t="s">
        <v>16</v>
      </c>
      <c r="F47" t="s">
        <v>17</v>
      </c>
      <c r="G47" s="65">
        <v>135</v>
      </c>
      <c r="H47">
        <v>1</v>
      </c>
    </row>
    <row r="48" spans="1:8" x14ac:dyDescent="0.3">
      <c r="A48">
        <v>146</v>
      </c>
      <c r="B48" t="s">
        <v>144</v>
      </c>
      <c r="C48" t="s">
        <v>150</v>
      </c>
      <c r="D48" t="s">
        <v>16</v>
      </c>
      <c r="F48" t="s">
        <v>17</v>
      </c>
      <c r="G48" s="65">
        <v>155</v>
      </c>
      <c r="H48">
        <v>2</v>
      </c>
    </row>
    <row r="49" spans="1:8" x14ac:dyDescent="0.3">
      <c r="A49">
        <v>147</v>
      </c>
      <c r="B49" t="s">
        <v>145</v>
      </c>
      <c r="C49" t="s">
        <v>150</v>
      </c>
      <c r="D49" t="s">
        <v>16</v>
      </c>
      <c r="F49" t="s">
        <v>17</v>
      </c>
      <c r="G49" s="65">
        <v>135</v>
      </c>
      <c r="H49">
        <v>2</v>
      </c>
    </row>
    <row r="50" spans="1:8" x14ac:dyDescent="0.3">
      <c r="A50">
        <v>148</v>
      </c>
      <c r="B50" t="s">
        <v>146</v>
      </c>
      <c r="C50" t="s">
        <v>150</v>
      </c>
      <c r="D50" t="s">
        <v>16</v>
      </c>
      <c r="F50" t="s">
        <v>17</v>
      </c>
      <c r="G50" s="65">
        <v>135</v>
      </c>
      <c r="H50">
        <v>1</v>
      </c>
    </row>
    <row r="51" spans="1:8" x14ac:dyDescent="0.3">
      <c r="A51">
        <v>149</v>
      </c>
      <c r="B51" t="s">
        <v>147</v>
      </c>
      <c r="C51" t="s">
        <v>150</v>
      </c>
      <c r="D51" t="s">
        <v>16</v>
      </c>
      <c r="F51" t="s">
        <v>17</v>
      </c>
      <c r="G51" s="65">
        <v>135</v>
      </c>
      <c r="H51">
        <v>3</v>
      </c>
    </row>
    <row r="52" spans="1:8" x14ac:dyDescent="0.3">
      <c r="A52">
        <v>150</v>
      </c>
      <c r="B52" t="s">
        <v>148</v>
      </c>
      <c r="C52" t="s">
        <v>150</v>
      </c>
      <c r="D52" t="s">
        <v>16</v>
      </c>
      <c r="F52" t="s">
        <v>17</v>
      </c>
      <c r="G52" s="65">
        <v>135</v>
      </c>
      <c r="H52">
        <v>3</v>
      </c>
    </row>
  </sheetData>
  <mergeCells count="1">
    <mergeCell ref="A1:H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07150-F334-4961-877F-8C7272EF1482}">
  <sheetPr codeName="Sheet5"/>
  <dimension ref="A1:P109"/>
  <sheetViews>
    <sheetView tabSelected="1" topLeftCell="A81" zoomScale="84" workbookViewId="0">
      <selection activeCell="M97" sqref="M97"/>
    </sheetView>
  </sheetViews>
  <sheetFormatPr defaultRowHeight="14.4" x14ac:dyDescent="0.3"/>
  <cols>
    <col min="1" max="1" width="7.6640625" customWidth="1"/>
    <col min="2" max="2" width="28" customWidth="1"/>
    <col min="4" max="4" width="12.88671875" style="82" customWidth="1"/>
    <col min="5" max="5" width="16.33203125" style="79" customWidth="1"/>
    <col min="6" max="6" width="7.5546875" style="79" customWidth="1"/>
    <col min="7" max="7" width="13.109375" style="79" customWidth="1"/>
    <col min="8" max="8" width="17.5546875" style="79" customWidth="1"/>
    <col min="9" max="9" width="5.33203125" style="79" customWidth="1"/>
    <col min="10" max="10" width="13.5546875" customWidth="1"/>
    <col min="11" max="11" width="15.33203125" customWidth="1"/>
    <col min="12" max="12" width="6" customWidth="1"/>
    <col min="13" max="13" width="13.33203125" style="65" customWidth="1"/>
    <col min="14" max="14" width="15.109375" style="65" customWidth="1"/>
    <col min="15" max="15" width="4.33203125" customWidth="1"/>
    <col min="16" max="16" width="8.88671875" style="65"/>
  </cols>
  <sheetData>
    <row r="1" spans="1:16" s="166" customFormat="1" ht="18" x14ac:dyDescent="0.35">
      <c r="A1" s="165" t="s">
        <v>151</v>
      </c>
    </row>
    <row r="2" spans="1:16" ht="36" customHeight="1" x14ac:dyDescent="0.3">
      <c r="A2" s="84" t="s">
        <v>65</v>
      </c>
      <c r="B2" s="84" t="s">
        <v>66</v>
      </c>
      <c r="C2" s="84" t="s">
        <v>67</v>
      </c>
      <c r="D2" s="85" t="s">
        <v>7</v>
      </c>
      <c r="E2" s="86" t="s">
        <v>68</v>
      </c>
      <c r="F2" s="86"/>
      <c r="G2" s="86" t="s">
        <v>108</v>
      </c>
      <c r="H2" s="88" t="s">
        <v>106</v>
      </c>
      <c r="I2" s="88"/>
      <c r="J2" s="77" t="s">
        <v>101</v>
      </c>
      <c r="K2" s="77" t="s">
        <v>102</v>
      </c>
      <c r="M2" s="89" t="s">
        <v>103</v>
      </c>
      <c r="N2" s="89" t="s">
        <v>104</v>
      </c>
      <c r="P2" s="89" t="s">
        <v>121</v>
      </c>
    </row>
    <row r="3" spans="1:16" x14ac:dyDescent="0.3">
      <c r="A3">
        <v>1</v>
      </c>
      <c r="B3" s="90" t="s">
        <v>69</v>
      </c>
      <c r="C3">
        <v>8</v>
      </c>
      <c r="D3" s="82">
        <v>1195</v>
      </c>
      <c r="E3" s="79">
        <v>9560</v>
      </c>
      <c r="G3" s="79">
        <f t="shared" ref="G3:G25" si="0">D3 + $E$28</f>
        <v>1220.5636363636363</v>
      </c>
      <c r="H3" s="87">
        <f t="shared" ref="H3:H25" si="1">G3*C3</f>
        <v>9764.5090909090904</v>
      </c>
      <c r="I3" s="87"/>
      <c r="J3" s="79">
        <f t="shared" ref="J3:J25" si="2">G3 +$H$27</f>
        <v>1529.8363636363636</v>
      </c>
      <c r="K3" s="79">
        <f t="shared" ref="K3:K25" si="3">J3*C3</f>
        <v>12238.690909090908</v>
      </c>
      <c r="M3" s="65">
        <f>J3/86.6</f>
        <v>17.665546924207433</v>
      </c>
      <c r="N3" s="65">
        <f t="shared" ref="N3:N25" si="4">M3*C3</f>
        <v>141.32437539365947</v>
      </c>
      <c r="P3" s="65">
        <v>17.989999999999998</v>
      </c>
    </row>
    <row r="4" spans="1:16" x14ac:dyDescent="0.3">
      <c r="A4">
        <v>2</v>
      </c>
      <c r="B4" s="90" t="s">
        <v>70</v>
      </c>
      <c r="C4">
        <v>4</v>
      </c>
      <c r="D4" s="82">
        <v>1795</v>
      </c>
      <c r="E4" s="79">
        <v>7180</v>
      </c>
      <c r="G4" s="79">
        <f t="shared" si="0"/>
        <v>1820.5636363636363</v>
      </c>
      <c r="H4" s="87">
        <f t="shared" si="1"/>
        <v>7282.2545454545452</v>
      </c>
      <c r="I4" s="87"/>
      <c r="J4" s="79">
        <f t="shared" si="2"/>
        <v>2129.8363636363638</v>
      </c>
      <c r="K4" s="79">
        <f t="shared" si="3"/>
        <v>8519.3454545454551</v>
      </c>
      <c r="M4" s="65">
        <f t="shared" ref="M4:M24" si="5">J4/86.6</f>
        <v>24.593953390720138</v>
      </c>
      <c r="N4" s="65">
        <f t="shared" si="4"/>
        <v>98.375813562880552</v>
      </c>
      <c r="P4" s="65">
        <v>24.99</v>
      </c>
    </row>
    <row r="5" spans="1:16" ht="17.399999999999999" customHeight="1" x14ac:dyDescent="0.3">
      <c r="A5">
        <v>3</v>
      </c>
      <c r="B5" s="90" t="s">
        <v>71</v>
      </c>
      <c r="C5">
        <v>8</v>
      </c>
      <c r="D5" s="82">
        <v>895</v>
      </c>
      <c r="E5" s="79">
        <v>7160</v>
      </c>
      <c r="G5" s="79">
        <f t="shared" si="0"/>
        <v>920.56363636363631</v>
      </c>
      <c r="H5" s="87">
        <f t="shared" si="1"/>
        <v>7364.5090909090904</v>
      </c>
      <c r="I5" s="87"/>
      <c r="J5" s="79">
        <f t="shared" si="2"/>
        <v>1229.8363636363636</v>
      </c>
      <c r="K5" s="79">
        <f t="shared" si="3"/>
        <v>9838.6909090909085</v>
      </c>
      <c r="M5" s="65">
        <f t="shared" si="5"/>
        <v>14.201343690951081</v>
      </c>
      <c r="N5" s="65">
        <f t="shared" si="4"/>
        <v>113.61074952760865</v>
      </c>
      <c r="P5" s="65">
        <v>14.99</v>
      </c>
    </row>
    <row r="6" spans="1:16" x14ac:dyDescent="0.3">
      <c r="A6">
        <v>4</v>
      </c>
      <c r="B6" s="90" t="s">
        <v>72</v>
      </c>
      <c r="C6">
        <v>4</v>
      </c>
      <c r="D6" s="82">
        <v>1550</v>
      </c>
      <c r="E6" s="79">
        <v>6200</v>
      </c>
      <c r="G6" s="79">
        <f t="shared" si="0"/>
        <v>1575.5636363636363</v>
      </c>
      <c r="H6" s="87">
        <f t="shared" si="1"/>
        <v>6302.2545454545452</v>
      </c>
      <c r="I6" s="87"/>
      <c r="J6" s="79">
        <f t="shared" si="2"/>
        <v>1884.8363636363636</v>
      </c>
      <c r="K6" s="79">
        <f t="shared" si="3"/>
        <v>7539.3454545454542</v>
      </c>
      <c r="M6" s="65">
        <f t="shared" si="5"/>
        <v>21.764854083560781</v>
      </c>
      <c r="N6" s="65">
        <f t="shared" si="4"/>
        <v>87.059416334243124</v>
      </c>
      <c r="P6" s="65">
        <v>21.99</v>
      </c>
    </row>
    <row r="7" spans="1:16" x14ac:dyDescent="0.3">
      <c r="A7">
        <v>5</v>
      </c>
      <c r="B7" s="90" t="s">
        <v>73</v>
      </c>
      <c r="C7">
        <v>4</v>
      </c>
      <c r="D7" s="82">
        <v>1295</v>
      </c>
      <c r="E7" s="79">
        <v>5180</v>
      </c>
      <c r="G7" s="79">
        <f t="shared" si="0"/>
        <v>1320.5636363636363</v>
      </c>
      <c r="H7" s="87">
        <f t="shared" si="1"/>
        <v>5282.2545454545452</v>
      </c>
      <c r="I7" s="87"/>
      <c r="J7" s="79">
        <f t="shared" si="2"/>
        <v>1629.8363636363636</v>
      </c>
      <c r="K7" s="79">
        <f t="shared" si="3"/>
        <v>6519.3454545454542</v>
      </c>
      <c r="M7" s="65">
        <f t="shared" si="5"/>
        <v>18.820281335292883</v>
      </c>
      <c r="N7" s="65">
        <f t="shared" si="4"/>
        <v>75.281125341171531</v>
      </c>
      <c r="P7" s="65">
        <v>18.989999999999998</v>
      </c>
    </row>
    <row r="8" spans="1:16" ht="19.2" customHeight="1" x14ac:dyDescent="0.3">
      <c r="A8">
        <v>6</v>
      </c>
      <c r="B8" s="90" t="s">
        <v>74</v>
      </c>
      <c r="C8">
        <v>4</v>
      </c>
      <c r="D8" s="82">
        <v>1295</v>
      </c>
      <c r="E8" s="79">
        <v>5180</v>
      </c>
      <c r="G8" s="79">
        <f t="shared" si="0"/>
        <v>1320.5636363636363</v>
      </c>
      <c r="H8" s="87">
        <f t="shared" si="1"/>
        <v>5282.2545454545452</v>
      </c>
      <c r="I8" s="87"/>
      <c r="J8" s="79">
        <f t="shared" si="2"/>
        <v>1629.8363636363636</v>
      </c>
      <c r="K8" s="79">
        <f t="shared" si="3"/>
        <v>6519.3454545454542</v>
      </c>
      <c r="M8" s="65">
        <f t="shared" si="5"/>
        <v>18.820281335292883</v>
      </c>
      <c r="N8" s="65">
        <f t="shared" si="4"/>
        <v>75.281125341171531</v>
      </c>
      <c r="P8" s="65">
        <v>18.989999999999998</v>
      </c>
    </row>
    <row r="9" spans="1:16" x14ac:dyDescent="0.3">
      <c r="A9">
        <v>7</v>
      </c>
      <c r="B9" s="90" t="s">
        <v>75</v>
      </c>
      <c r="C9">
        <v>4</v>
      </c>
      <c r="D9" s="82">
        <v>950</v>
      </c>
      <c r="E9" s="79">
        <v>3800</v>
      </c>
      <c r="G9" s="79">
        <f t="shared" si="0"/>
        <v>975.56363636363631</v>
      </c>
      <c r="H9" s="87">
        <f t="shared" si="1"/>
        <v>3902.2545454545452</v>
      </c>
      <c r="I9" s="87"/>
      <c r="J9" s="79">
        <f t="shared" si="2"/>
        <v>1284.8363636363636</v>
      </c>
      <c r="K9" s="79">
        <f t="shared" si="3"/>
        <v>5139.3454545454542</v>
      </c>
      <c r="M9" s="65">
        <f t="shared" si="5"/>
        <v>14.836447617048078</v>
      </c>
      <c r="N9" s="65">
        <f t="shared" si="4"/>
        <v>59.345790468192313</v>
      </c>
      <c r="P9" s="65">
        <v>14.99</v>
      </c>
    </row>
    <row r="10" spans="1:16" x14ac:dyDescent="0.3">
      <c r="A10">
        <v>8</v>
      </c>
      <c r="B10" s="90" t="s">
        <v>76</v>
      </c>
      <c r="C10">
        <v>4</v>
      </c>
      <c r="D10" s="82">
        <v>1195</v>
      </c>
      <c r="E10" s="79">
        <v>4780</v>
      </c>
      <c r="G10" s="79">
        <f t="shared" si="0"/>
        <v>1220.5636363636363</v>
      </c>
      <c r="H10" s="87">
        <f t="shared" si="1"/>
        <v>4882.2545454545452</v>
      </c>
      <c r="I10" s="87"/>
      <c r="J10" s="79">
        <f t="shared" si="2"/>
        <v>1529.8363636363636</v>
      </c>
      <c r="K10" s="79">
        <f t="shared" si="3"/>
        <v>6119.3454545454542</v>
      </c>
      <c r="M10" s="65">
        <f t="shared" si="5"/>
        <v>17.665546924207433</v>
      </c>
      <c r="N10" s="65">
        <f t="shared" si="4"/>
        <v>70.662187696829733</v>
      </c>
      <c r="P10" s="65">
        <v>17.989999999999998</v>
      </c>
    </row>
    <row r="11" spans="1:16" x14ac:dyDescent="0.3">
      <c r="A11">
        <v>9</v>
      </c>
      <c r="B11" s="90" t="s">
        <v>77</v>
      </c>
      <c r="C11">
        <v>4</v>
      </c>
      <c r="D11" s="82">
        <v>1295</v>
      </c>
      <c r="E11" s="79">
        <v>5180</v>
      </c>
      <c r="G11" s="79">
        <f t="shared" si="0"/>
        <v>1320.5636363636363</v>
      </c>
      <c r="H11" s="87">
        <f t="shared" si="1"/>
        <v>5282.2545454545452</v>
      </c>
      <c r="I11" s="87"/>
      <c r="J11" s="79">
        <f t="shared" si="2"/>
        <v>1629.8363636363636</v>
      </c>
      <c r="K11" s="79">
        <f t="shared" si="3"/>
        <v>6519.3454545454542</v>
      </c>
      <c r="M11" s="65">
        <f t="shared" si="5"/>
        <v>18.820281335292883</v>
      </c>
      <c r="N11" s="65">
        <f t="shared" si="4"/>
        <v>75.281125341171531</v>
      </c>
      <c r="P11" s="65">
        <v>18.989999999999998</v>
      </c>
    </row>
    <row r="12" spans="1:16" x14ac:dyDescent="0.3">
      <c r="A12">
        <v>10</v>
      </c>
      <c r="B12" s="90" t="s">
        <v>78</v>
      </c>
      <c r="C12">
        <v>4</v>
      </c>
      <c r="D12" s="82">
        <v>1695</v>
      </c>
      <c r="E12" s="79">
        <v>6780</v>
      </c>
      <c r="G12" s="79">
        <f t="shared" si="0"/>
        <v>1720.5636363636363</v>
      </c>
      <c r="H12" s="87">
        <f t="shared" si="1"/>
        <v>6882.2545454545452</v>
      </c>
      <c r="I12" s="87"/>
      <c r="J12" s="79">
        <f t="shared" si="2"/>
        <v>2029.8363636363636</v>
      </c>
      <c r="K12" s="79">
        <f t="shared" si="3"/>
        <v>8119.3454545454542</v>
      </c>
      <c r="M12" s="65">
        <f t="shared" si="5"/>
        <v>23.439218979634685</v>
      </c>
      <c r="N12" s="65">
        <f t="shared" si="4"/>
        <v>93.756875918538739</v>
      </c>
      <c r="P12" s="65">
        <v>23.99</v>
      </c>
    </row>
    <row r="13" spans="1:16" x14ac:dyDescent="0.3">
      <c r="A13">
        <v>11</v>
      </c>
      <c r="B13" s="90" t="s">
        <v>79</v>
      </c>
      <c r="C13">
        <v>4</v>
      </c>
      <c r="D13" s="82">
        <v>1795</v>
      </c>
      <c r="E13" s="79">
        <v>7180</v>
      </c>
      <c r="G13" s="79">
        <f t="shared" si="0"/>
        <v>1820.5636363636363</v>
      </c>
      <c r="H13" s="87">
        <f t="shared" si="1"/>
        <v>7282.2545454545452</v>
      </c>
      <c r="I13" s="87"/>
      <c r="J13" s="79">
        <f t="shared" si="2"/>
        <v>2129.8363636363638</v>
      </c>
      <c r="K13" s="79">
        <f t="shared" si="3"/>
        <v>8519.3454545454551</v>
      </c>
      <c r="M13" s="65">
        <f t="shared" si="5"/>
        <v>24.593953390720138</v>
      </c>
      <c r="N13" s="65">
        <f t="shared" si="4"/>
        <v>98.375813562880552</v>
      </c>
      <c r="P13" s="65">
        <v>24.99</v>
      </c>
    </row>
    <row r="14" spans="1:16" x14ac:dyDescent="0.3">
      <c r="A14">
        <v>12</v>
      </c>
      <c r="B14" s="90" t="s">
        <v>80</v>
      </c>
      <c r="C14">
        <v>4</v>
      </c>
      <c r="D14" s="82">
        <v>1595</v>
      </c>
      <c r="E14" s="79">
        <v>6380</v>
      </c>
      <c r="G14" s="79">
        <f t="shared" si="0"/>
        <v>1620.5636363636363</v>
      </c>
      <c r="H14" s="87">
        <f t="shared" si="1"/>
        <v>6482.2545454545452</v>
      </c>
      <c r="I14" s="87"/>
      <c r="J14" s="79">
        <f t="shared" si="2"/>
        <v>1929.8363636363636</v>
      </c>
      <c r="K14" s="79">
        <f t="shared" si="3"/>
        <v>7719.3454545454542</v>
      </c>
      <c r="M14" s="65">
        <f t="shared" si="5"/>
        <v>22.284484568549235</v>
      </c>
      <c r="N14" s="65">
        <f t="shared" si="4"/>
        <v>89.137938274196941</v>
      </c>
      <c r="P14" s="65">
        <v>22.99</v>
      </c>
    </row>
    <row r="15" spans="1:16" x14ac:dyDescent="0.3">
      <c r="A15">
        <v>13</v>
      </c>
      <c r="B15" s="90" t="s">
        <v>81</v>
      </c>
      <c r="C15">
        <v>4</v>
      </c>
      <c r="D15" s="82">
        <v>1595</v>
      </c>
      <c r="E15" s="79">
        <v>6380</v>
      </c>
      <c r="G15" s="79">
        <f t="shared" si="0"/>
        <v>1620.5636363636363</v>
      </c>
      <c r="H15" s="87">
        <f t="shared" si="1"/>
        <v>6482.2545454545452</v>
      </c>
      <c r="I15" s="87"/>
      <c r="J15" s="79">
        <f t="shared" si="2"/>
        <v>1929.8363636363636</v>
      </c>
      <c r="K15" s="79">
        <f t="shared" si="3"/>
        <v>7719.3454545454542</v>
      </c>
      <c r="M15" s="65">
        <f t="shared" si="5"/>
        <v>22.284484568549235</v>
      </c>
      <c r="N15" s="65">
        <f t="shared" si="4"/>
        <v>89.137938274196941</v>
      </c>
      <c r="P15" s="65">
        <v>22.99</v>
      </c>
    </row>
    <row r="16" spans="1:16" x14ac:dyDescent="0.3">
      <c r="A16">
        <v>14</v>
      </c>
      <c r="B16" s="90">
        <v>4406</v>
      </c>
      <c r="C16">
        <v>4</v>
      </c>
      <c r="D16" s="82">
        <v>1095</v>
      </c>
      <c r="E16" s="79">
        <v>4380</v>
      </c>
      <c r="G16" s="79">
        <f t="shared" si="0"/>
        <v>1120.5636363636363</v>
      </c>
      <c r="H16" s="87">
        <f t="shared" si="1"/>
        <v>4482.2545454545452</v>
      </c>
      <c r="I16" s="87"/>
      <c r="J16" s="79">
        <f t="shared" si="2"/>
        <v>1429.8363636363636</v>
      </c>
      <c r="K16" s="79">
        <f t="shared" si="3"/>
        <v>5719.3454545454542</v>
      </c>
      <c r="M16" s="65">
        <f>J16/86.6</f>
        <v>16.510812513121984</v>
      </c>
      <c r="N16" s="65">
        <f t="shared" si="4"/>
        <v>66.043250052487934</v>
      </c>
      <c r="P16" s="65">
        <v>16.989999999999998</v>
      </c>
    </row>
    <row r="17" spans="1:16" x14ac:dyDescent="0.3">
      <c r="A17">
        <v>15</v>
      </c>
      <c r="B17" s="90" t="s">
        <v>82</v>
      </c>
      <c r="C17">
        <v>4</v>
      </c>
      <c r="D17" s="82">
        <v>895</v>
      </c>
      <c r="E17" s="79">
        <v>3580</v>
      </c>
      <c r="G17" s="79">
        <f t="shared" si="0"/>
        <v>920.56363636363631</v>
      </c>
      <c r="H17" s="87">
        <f t="shared" si="1"/>
        <v>3682.2545454545452</v>
      </c>
      <c r="I17" s="87"/>
      <c r="J17" s="79">
        <f t="shared" si="2"/>
        <v>1229.8363636363636</v>
      </c>
      <c r="K17" s="79">
        <f t="shared" si="3"/>
        <v>4919.3454545454542</v>
      </c>
      <c r="M17" s="65">
        <f t="shared" si="5"/>
        <v>14.201343690951081</v>
      </c>
      <c r="N17" s="65">
        <f t="shared" si="4"/>
        <v>56.805374763804323</v>
      </c>
      <c r="P17" s="65">
        <v>14.99</v>
      </c>
    </row>
    <row r="18" spans="1:16" x14ac:dyDescent="0.3">
      <c r="A18">
        <v>16</v>
      </c>
      <c r="B18" s="90" t="s">
        <v>83</v>
      </c>
      <c r="C18">
        <v>4</v>
      </c>
      <c r="D18" s="82">
        <v>895</v>
      </c>
      <c r="E18" s="79">
        <v>3580</v>
      </c>
      <c r="G18" s="79">
        <f t="shared" si="0"/>
        <v>920.56363636363631</v>
      </c>
      <c r="H18" s="87">
        <f t="shared" si="1"/>
        <v>3682.2545454545452</v>
      </c>
      <c r="I18" s="87"/>
      <c r="J18" s="79">
        <f t="shared" si="2"/>
        <v>1229.8363636363636</v>
      </c>
      <c r="K18" s="79">
        <f t="shared" si="3"/>
        <v>4919.3454545454542</v>
      </c>
      <c r="M18" s="65">
        <f t="shared" si="5"/>
        <v>14.201343690951081</v>
      </c>
      <c r="N18" s="65">
        <f t="shared" si="4"/>
        <v>56.805374763804323</v>
      </c>
      <c r="P18" s="65">
        <v>14.99</v>
      </c>
    </row>
    <row r="19" spans="1:16" x14ac:dyDescent="0.3">
      <c r="A19">
        <v>17</v>
      </c>
      <c r="B19" s="90" t="s">
        <v>84</v>
      </c>
      <c r="C19">
        <v>4</v>
      </c>
      <c r="D19" s="82">
        <v>995</v>
      </c>
      <c r="E19" s="79">
        <v>3980</v>
      </c>
      <c r="G19" s="79">
        <f t="shared" si="0"/>
        <v>1020.5636363636363</v>
      </c>
      <c r="H19" s="87">
        <f t="shared" si="1"/>
        <v>4082.2545454545452</v>
      </c>
      <c r="I19" s="87"/>
      <c r="J19" s="79">
        <f t="shared" si="2"/>
        <v>1329.8363636363636</v>
      </c>
      <c r="K19" s="79">
        <f t="shared" si="3"/>
        <v>5319.3454545454542</v>
      </c>
      <c r="M19" s="65">
        <f t="shared" si="5"/>
        <v>15.356078102036532</v>
      </c>
      <c r="N19" s="65">
        <f t="shared" si="4"/>
        <v>61.424312408146129</v>
      </c>
      <c r="P19" s="65">
        <v>15.99</v>
      </c>
    </row>
    <row r="20" spans="1:16" x14ac:dyDescent="0.3">
      <c r="A20">
        <v>18</v>
      </c>
      <c r="B20" s="90" t="s">
        <v>85</v>
      </c>
      <c r="C20">
        <v>5</v>
      </c>
      <c r="D20" s="82">
        <v>1695</v>
      </c>
      <c r="E20" s="79">
        <v>8475</v>
      </c>
      <c r="G20" s="79">
        <f t="shared" si="0"/>
        <v>1720.5636363636363</v>
      </c>
      <c r="H20" s="87">
        <f t="shared" si="1"/>
        <v>8602.818181818182</v>
      </c>
      <c r="I20" s="87"/>
      <c r="J20" s="79">
        <f t="shared" si="2"/>
        <v>2029.8363636363636</v>
      </c>
      <c r="K20" s="79">
        <f t="shared" si="3"/>
        <v>10149.181818181818</v>
      </c>
      <c r="M20" s="65">
        <f t="shared" si="5"/>
        <v>23.439218979634685</v>
      </c>
      <c r="N20" s="65">
        <f t="shared" si="4"/>
        <v>117.19609489817343</v>
      </c>
      <c r="P20" s="65">
        <v>23.99</v>
      </c>
    </row>
    <row r="21" spans="1:16" x14ac:dyDescent="0.3">
      <c r="A21">
        <v>19</v>
      </c>
      <c r="B21" s="90" t="s">
        <v>86</v>
      </c>
      <c r="C21">
        <v>3</v>
      </c>
      <c r="D21" s="82">
        <v>1750</v>
      </c>
      <c r="E21" s="79">
        <v>5250</v>
      </c>
      <c r="G21" s="79">
        <f t="shared" si="0"/>
        <v>1775.5636363636363</v>
      </c>
      <c r="H21" s="87">
        <f t="shared" si="1"/>
        <v>5326.6909090909085</v>
      </c>
      <c r="I21" s="87"/>
      <c r="J21" s="79">
        <f t="shared" si="2"/>
        <v>2084.8363636363638</v>
      </c>
      <c r="K21" s="79">
        <f t="shared" si="3"/>
        <v>6254.5090909090914</v>
      </c>
      <c r="M21" s="65">
        <f t="shared" si="5"/>
        <v>24.074322905731684</v>
      </c>
      <c r="N21" s="65">
        <f t="shared" si="4"/>
        <v>72.222968717195045</v>
      </c>
      <c r="P21" s="65">
        <v>24.99</v>
      </c>
    </row>
    <row r="22" spans="1:16" x14ac:dyDescent="0.3">
      <c r="A22">
        <v>20</v>
      </c>
      <c r="B22" s="90" t="s">
        <v>87</v>
      </c>
      <c r="C22">
        <v>9</v>
      </c>
      <c r="D22" s="82">
        <v>1295</v>
      </c>
      <c r="E22" s="79">
        <v>11655</v>
      </c>
      <c r="G22" s="79">
        <f t="shared" si="0"/>
        <v>1320.5636363636363</v>
      </c>
      <c r="H22" s="87">
        <f t="shared" si="1"/>
        <v>11885.072727272727</v>
      </c>
      <c r="I22" s="87"/>
      <c r="J22" s="79">
        <f t="shared" si="2"/>
        <v>1629.8363636363636</v>
      </c>
      <c r="K22" s="79">
        <f t="shared" si="3"/>
        <v>14668.527272727271</v>
      </c>
      <c r="M22" s="65">
        <f t="shared" si="5"/>
        <v>18.820281335292883</v>
      </c>
      <c r="N22" s="65">
        <f t="shared" si="4"/>
        <v>169.38253201763595</v>
      </c>
      <c r="P22" s="65">
        <v>18.989999999999998</v>
      </c>
    </row>
    <row r="23" spans="1:16" x14ac:dyDescent="0.3">
      <c r="A23">
        <v>21</v>
      </c>
      <c r="B23" s="90" t="s">
        <v>88</v>
      </c>
      <c r="C23">
        <v>3</v>
      </c>
      <c r="D23" s="82">
        <v>2395</v>
      </c>
      <c r="E23" s="79">
        <v>7185</v>
      </c>
      <c r="G23" s="79">
        <f t="shared" si="0"/>
        <v>2420.5636363636363</v>
      </c>
      <c r="H23" s="87">
        <f t="shared" si="1"/>
        <v>7261.6909090909085</v>
      </c>
      <c r="I23" s="87"/>
      <c r="J23" s="79">
        <f t="shared" si="2"/>
        <v>2729.8363636363638</v>
      </c>
      <c r="K23" s="79">
        <f t="shared" si="3"/>
        <v>8189.5090909090914</v>
      </c>
      <c r="M23" s="65">
        <f t="shared" si="5"/>
        <v>31.522359857232839</v>
      </c>
      <c r="N23" s="65">
        <f t="shared" si="4"/>
        <v>94.567079571698514</v>
      </c>
      <c r="P23" s="65">
        <v>31.99</v>
      </c>
    </row>
    <row r="24" spans="1:16" x14ac:dyDescent="0.3">
      <c r="A24">
        <v>22</v>
      </c>
      <c r="B24" s="90" t="s">
        <v>89</v>
      </c>
      <c r="C24">
        <v>3</v>
      </c>
      <c r="D24" s="82">
        <v>2395</v>
      </c>
      <c r="E24" s="79">
        <v>7185</v>
      </c>
      <c r="G24" s="79">
        <f t="shared" si="0"/>
        <v>2420.5636363636363</v>
      </c>
      <c r="H24" s="87">
        <f t="shared" si="1"/>
        <v>7261.6909090909085</v>
      </c>
      <c r="I24" s="87"/>
      <c r="J24" s="79">
        <f t="shared" si="2"/>
        <v>2729.8363636363638</v>
      </c>
      <c r="K24" s="79">
        <f t="shared" si="3"/>
        <v>8189.5090909090914</v>
      </c>
      <c r="M24" s="65">
        <f t="shared" si="5"/>
        <v>31.522359857232839</v>
      </c>
      <c r="N24" s="65">
        <f t="shared" si="4"/>
        <v>94.567079571698514</v>
      </c>
      <c r="P24" s="65">
        <v>31.99</v>
      </c>
    </row>
    <row r="25" spans="1:16" x14ac:dyDescent="0.3">
      <c r="A25">
        <v>23</v>
      </c>
      <c r="B25" s="90" t="s">
        <v>90</v>
      </c>
      <c r="C25">
        <v>11</v>
      </c>
      <c r="D25" s="82">
        <v>399</v>
      </c>
      <c r="E25" s="79">
        <v>4389</v>
      </c>
      <c r="G25" s="79">
        <f t="shared" si="0"/>
        <v>424.56363636363636</v>
      </c>
      <c r="H25" s="87">
        <f t="shared" si="1"/>
        <v>4670.2</v>
      </c>
      <c r="I25" s="87"/>
      <c r="J25" s="79">
        <f t="shared" si="2"/>
        <v>733.83636363636356</v>
      </c>
      <c r="K25" s="79">
        <f t="shared" si="3"/>
        <v>8072.1999999999989</v>
      </c>
      <c r="M25" s="65">
        <f>J25/86.6</f>
        <v>8.4738610119672479</v>
      </c>
      <c r="N25" s="65">
        <f t="shared" si="4"/>
        <v>93.212471131639731</v>
      </c>
      <c r="P25" s="65">
        <v>8.99</v>
      </c>
    </row>
    <row r="26" spans="1:16" x14ac:dyDescent="0.3">
      <c r="D26" s="83" t="s">
        <v>94</v>
      </c>
      <c r="E26" s="78">
        <f>SUM(E3:E25)</f>
        <v>140599</v>
      </c>
      <c r="F26" s="78"/>
      <c r="G26" s="83" t="s">
        <v>96</v>
      </c>
      <c r="H26" s="78">
        <v>34020</v>
      </c>
      <c r="I26" s="87"/>
      <c r="K26" s="79"/>
      <c r="M26" s="80" t="s">
        <v>105</v>
      </c>
      <c r="N26" s="80">
        <f>SUM(N3:N25)</f>
        <v>2048.8568129330256</v>
      </c>
    </row>
    <row r="27" spans="1:16" x14ac:dyDescent="0.3">
      <c r="D27" s="83" t="s">
        <v>95</v>
      </c>
      <c r="E27" s="78">
        <v>2812</v>
      </c>
      <c r="F27" s="78"/>
      <c r="G27" s="83" t="s">
        <v>99</v>
      </c>
      <c r="H27" s="78">
        <f>H26/SUM(C3:C25)</f>
        <v>309.27272727272725</v>
      </c>
      <c r="I27" s="87"/>
      <c r="K27" s="79"/>
      <c r="M27" s="80"/>
      <c r="N27" s="81">
        <f>N26*86.6</f>
        <v>177431</v>
      </c>
    </row>
    <row r="28" spans="1:16" x14ac:dyDescent="0.3">
      <c r="D28" s="83" t="s">
        <v>107</v>
      </c>
      <c r="E28" s="78">
        <f>E27/SUM(C3:C25)</f>
        <v>25.563636363636363</v>
      </c>
      <c r="F28" s="78"/>
      <c r="G28" s="83" t="s">
        <v>98</v>
      </c>
      <c r="H28" s="78">
        <f>E29+H26</f>
        <v>177431</v>
      </c>
      <c r="I28" s="87"/>
      <c r="K28" s="79"/>
    </row>
    <row r="29" spans="1:16" x14ac:dyDescent="0.3">
      <c r="D29" s="83" t="s">
        <v>35</v>
      </c>
      <c r="E29" s="78">
        <f>SUM(E26:E27)</f>
        <v>143411</v>
      </c>
      <c r="F29" s="78"/>
      <c r="H29" s="87"/>
      <c r="I29" s="87"/>
      <c r="K29" s="79"/>
    </row>
    <row r="30" spans="1:16" x14ac:dyDescent="0.3">
      <c r="F30" s="78"/>
      <c r="H30" s="87"/>
      <c r="I30" s="87"/>
      <c r="K30" s="79"/>
    </row>
    <row r="31" spans="1:16" s="166" customFormat="1" ht="18" x14ac:dyDescent="0.35">
      <c r="A31" s="165" t="s">
        <v>152</v>
      </c>
    </row>
    <row r="32" spans="1:16" ht="28.8" x14ac:dyDescent="0.3">
      <c r="A32" s="84" t="s">
        <v>65</v>
      </c>
      <c r="B32" s="84" t="s">
        <v>66</v>
      </c>
      <c r="C32" s="84" t="s">
        <v>67</v>
      </c>
      <c r="D32" s="85" t="s">
        <v>7</v>
      </c>
      <c r="E32" s="86" t="s">
        <v>68</v>
      </c>
      <c r="F32" s="86"/>
      <c r="G32" s="77" t="s">
        <v>101</v>
      </c>
      <c r="H32" s="77" t="s">
        <v>102</v>
      </c>
      <c r="I32"/>
      <c r="J32" s="89" t="s">
        <v>103</v>
      </c>
      <c r="K32" s="89" t="s">
        <v>104</v>
      </c>
      <c r="M32" s="89" t="s">
        <v>121</v>
      </c>
    </row>
    <row r="33" spans="1:14" x14ac:dyDescent="0.3">
      <c r="A33">
        <v>1</v>
      </c>
      <c r="B33" t="s">
        <v>91</v>
      </c>
      <c r="C33">
        <v>48</v>
      </c>
      <c r="D33" s="82">
        <v>795</v>
      </c>
      <c r="E33" s="79">
        <v>38160</v>
      </c>
      <c r="G33" s="79">
        <f>D33+$E$38</f>
        <v>1091.1290322580644</v>
      </c>
      <c r="H33" s="79">
        <f>G33*C33</f>
        <v>52374.193548387091</v>
      </c>
      <c r="I33"/>
      <c r="J33" s="65">
        <f>G33/86.6</f>
        <v>12.599642404827534</v>
      </c>
      <c r="K33" s="65">
        <f>J33*C33</f>
        <v>604.78283543172165</v>
      </c>
      <c r="M33" s="65">
        <v>35</v>
      </c>
    </row>
    <row r="34" spans="1:14" x14ac:dyDescent="0.3">
      <c r="A34">
        <v>2</v>
      </c>
      <c r="B34" t="s">
        <v>92</v>
      </c>
      <c r="C34">
        <v>30</v>
      </c>
      <c r="D34" s="82">
        <v>625</v>
      </c>
      <c r="E34" s="79">
        <v>18750</v>
      </c>
      <c r="G34" s="79">
        <f>D34+$E$38</f>
        <v>921.12903225806451</v>
      </c>
      <c r="H34" s="79">
        <f>G34*C34</f>
        <v>27633.870967741936</v>
      </c>
      <c r="I34"/>
      <c r="J34" s="65">
        <f>G34/86.6</f>
        <v>10.63659390598227</v>
      </c>
      <c r="K34" s="65">
        <f>J34*C34</f>
        <v>319.09781717946811</v>
      </c>
      <c r="M34" s="65">
        <v>35</v>
      </c>
    </row>
    <row r="35" spans="1:14" x14ac:dyDescent="0.3">
      <c r="A35">
        <v>3</v>
      </c>
      <c r="B35" t="s">
        <v>93</v>
      </c>
      <c r="C35">
        <v>15</v>
      </c>
      <c r="D35" s="82">
        <v>690</v>
      </c>
      <c r="E35" s="79">
        <v>10350</v>
      </c>
      <c r="G35" s="79">
        <f>D35+$E$38</f>
        <v>986.12903225806451</v>
      </c>
      <c r="H35" s="79">
        <f>G35*C35</f>
        <v>14791.935483870968</v>
      </c>
      <c r="I35"/>
      <c r="J35" s="65">
        <f>G35/86.6</f>
        <v>11.387171273187812</v>
      </c>
      <c r="K35" s="65">
        <f>J35*C35</f>
        <v>170.80756909781718</v>
      </c>
      <c r="M35" s="65">
        <v>35</v>
      </c>
    </row>
    <row r="36" spans="1:14" x14ac:dyDescent="0.3">
      <c r="D36" s="83" t="s">
        <v>35</v>
      </c>
      <c r="E36" s="78">
        <f>SUM(E33:E35)</f>
        <v>67260</v>
      </c>
      <c r="F36" s="78"/>
      <c r="G36"/>
      <c r="H36"/>
      <c r="I36"/>
      <c r="J36" s="80" t="s">
        <v>109</v>
      </c>
      <c r="K36" s="80">
        <f xml:space="preserve"> SUM(K33:K35)</f>
        <v>1094.6882217090069</v>
      </c>
    </row>
    <row r="37" spans="1:14" x14ac:dyDescent="0.3">
      <c r="D37" s="83" t="s">
        <v>97</v>
      </c>
      <c r="E37" s="78">
        <v>27540</v>
      </c>
      <c r="F37" s="78"/>
      <c r="G37"/>
      <c r="H37"/>
      <c r="I37"/>
      <c r="J37" s="80"/>
      <c r="K37" s="106">
        <f>K36*86.6</f>
        <v>94800</v>
      </c>
    </row>
    <row r="38" spans="1:14" x14ac:dyDescent="0.3">
      <c r="D38" s="83" t="s">
        <v>100</v>
      </c>
      <c r="E38" s="78">
        <f>E37/SUM(C33:C35)</f>
        <v>296.12903225806451</v>
      </c>
      <c r="M38" s="80"/>
      <c r="N38" s="80"/>
    </row>
    <row r="39" spans="1:14" x14ac:dyDescent="0.3">
      <c r="D39" s="83" t="s">
        <v>98</v>
      </c>
      <c r="E39" s="78">
        <f>E36+E37</f>
        <v>94800</v>
      </c>
    </row>
    <row r="41" spans="1:14" s="167" customFormat="1" ht="18" x14ac:dyDescent="0.35">
      <c r="A41" s="165" t="s">
        <v>153</v>
      </c>
    </row>
    <row r="42" spans="1:14" ht="28.8" x14ac:dyDescent="0.3">
      <c r="A42" s="84" t="s">
        <v>65</v>
      </c>
      <c r="B42" s="84" t="s">
        <v>66</v>
      </c>
      <c r="C42" s="84" t="s">
        <v>67</v>
      </c>
      <c r="D42" s="85" t="s">
        <v>7</v>
      </c>
      <c r="E42" s="86" t="s">
        <v>68</v>
      </c>
      <c r="F42" s="86"/>
      <c r="G42" s="77" t="s">
        <v>101</v>
      </c>
      <c r="H42" s="77" t="s">
        <v>102</v>
      </c>
      <c r="I42"/>
      <c r="J42" s="89" t="s">
        <v>103</v>
      </c>
      <c r="K42" s="89" t="s">
        <v>104</v>
      </c>
      <c r="M42" s="89" t="s">
        <v>121</v>
      </c>
    </row>
    <row r="43" spans="1:14" x14ac:dyDescent="0.3">
      <c r="A43">
        <v>1</v>
      </c>
      <c r="B43" t="s">
        <v>110</v>
      </c>
      <c r="C43">
        <v>32</v>
      </c>
      <c r="D43" s="82">
        <v>410</v>
      </c>
      <c r="E43" s="79">
        <f>D43*C43</f>
        <v>13120</v>
      </c>
      <c r="G43" s="79">
        <f t="shared" ref="G43:G52" si="6">D43+$E$55</f>
        <v>700.12345679012344</v>
      </c>
      <c r="H43" s="79">
        <f t="shared" ref="H43:H52" si="7">G43*C43</f>
        <v>22403.95061728395</v>
      </c>
      <c r="I43"/>
      <c r="J43" s="65">
        <f>G43/86.6</f>
        <v>8.0845664756365299</v>
      </c>
      <c r="K43" s="65">
        <f>H43/86.6</f>
        <v>258.70612722036896</v>
      </c>
      <c r="M43" s="65">
        <v>35</v>
      </c>
    </row>
    <row r="44" spans="1:14" x14ac:dyDescent="0.3">
      <c r="A44">
        <v>2</v>
      </c>
      <c r="B44" t="s">
        <v>114</v>
      </c>
      <c r="C44">
        <v>31</v>
      </c>
      <c r="D44" s="82">
        <v>475</v>
      </c>
      <c r="E44" s="79">
        <f>D44*C44</f>
        <v>14725</v>
      </c>
      <c r="G44" s="79">
        <f t="shared" si="6"/>
        <v>765.12345679012344</v>
      </c>
      <c r="H44" s="79">
        <f t="shared" si="7"/>
        <v>23718.827160493827</v>
      </c>
      <c r="I44"/>
      <c r="J44" s="65">
        <f t="shared" ref="J44:J52" si="8">G44/86.6</f>
        <v>8.8351438428420721</v>
      </c>
      <c r="K44" s="65">
        <f t="shared" ref="K44:K52" si="9">H44/86.6</f>
        <v>273.88945912810425</v>
      </c>
      <c r="M44" s="65">
        <v>35</v>
      </c>
    </row>
    <row r="45" spans="1:14" x14ac:dyDescent="0.3">
      <c r="A45">
        <v>3</v>
      </c>
      <c r="B45" t="s">
        <v>113</v>
      </c>
      <c r="C45">
        <v>16</v>
      </c>
      <c r="D45" s="82">
        <v>400</v>
      </c>
      <c r="E45" s="79">
        <f t="shared" ref="E45:E52" si="10">D45*C45</f>
        <v>6400</v>
      </c>
      <c r="G45" s="79">
        <f t="shared" si="6"/>
        <v>690.12345679012344</v>
      </c>
      <c r="H45" s="79">
        <f t="shared" si="7"/>
        <v>11041.975308641975</v>
      </c>
      <c r="I45"/>
      <c r="J45" s="65">
        <f t="shared" si="8"/>
        <v>7.9690930345279849</v>
      </c>
      <c r="K45" s="65">
        <f t="shared" si="9"/>
        <v>127.50548855244776</v>
      </c>
      <c r="M45" s="65">
        <v>35</v>
      </c>
    </row>
    <row r="46" spans="1:14" x14ac:dyDescent="0.3">
      <c r="A46">
        <v>4</v>
      </c>
      <c r="B46" t="s">
        <v>111</v>
      </c>
      <c r="C46">
        <v>35</v>
      </c>
      <c r="D46" s="82">
        <v>480</v>
      </c>
      <c r="E46" s="79">
        <f t="shared" si="10"/>
        <v>16800</v>
      </c>
      <c r="G46" s="79">
        <f t="shared" si="6"/>
        <v>770.12345679012344</v>
      </c>
      <c r="H46" s="79">
        <f t="shared" si="7"/>
        <v>26954.320987654319</v>
      </c>
      <c r="I46"/>
      <c r="J46" s="65">
        <f t="shared" si="8"/>
        <v>8.8928805633963446</v>
      </c>
      <c r="K46" s="65">
        <f t="shared" si="9"/>
        <v>311.25081971887204</v>
      </c>
      <c r="M46" s="65">
        <v>35</v>
      </c>
    </row>
    <row r="47" spans="1:14" x14ac:dyDescent="0.3">
      <c r="A47">
        <v>5</v>
      </c>
      <c r="B47" t="s">
        <v>112</v>
      </c>
      <c r="C47">
        <v>26</v>
      </c>
      <c r="D47" s="82">
        <v>450</v>
      </c>
      <c r="E47" s="79">
        <f t="shared" si="10"/>
        <v>11700</v>
      </c>
      <c r="G47" s="79">
        <f t="shared" si="6"/>
        <v>740.12345679012344</v>
      </c>
      <c r="H47" s="79">
        <f t="shared" si="7"/>
        <v>19243.209876543209</v>
      </c>
      <c r="I47"/>
      <c r="J47" s="65">
        <f t="shared" si="8"/>
        <v>8.5464602400707097</v>
      </c>
      <c r="K47" s="65">
        <f t="shared" si="9"/>
        <v>222.20796624183845</v>
      </c>
      <c r="M47" s="65">
        <v>35</v>
      </c>
    </row>
    <row r="48" spans="1:14" x14ac:dyDescent="0.3">
      <c r="A48">
        <v>6</v>
      </c>
      <c r="B48" t="s">
        <v>115</v>
      </c>
      <c r="C48">
        <v>5</v>
      </c>
      <c r="D48" s="82">
        <v>400</v>
      </c>
      <c r="E48" s="79">
        <f t="shared" si="10"/>
        <v>2000</v>
      </c>
      <c r="G48" s="79">
        <f t="shared" si="6"/>
        <v>690.12345679012344</v>
      </c>
      <c r="H48" s="79">
        <f t="shared" si="7"/>
        <v>3450.6172839506171</v>
      </c>
      <c r="I48"/>
      <c r="J48" s="65">
        <f t="shared" si="8"/>
        <v>7.9690930345279849</v>
      </c>
      <c r="K48" s="65">
        <f t="shared" si="9"/>
        <v>39.845465172639926</v>
      </c>
      <c r="M48" s="65">
        <v>35</v>
      </c>
    </row>
    <row r="49" spans="1:13" x14ac:dyDescent="0.3">
      <c r="A49">
        <v>7</v>
      </c>
      <c r="B49" t="s">
        <v>116</v>
      </c>
      <c r="C49">
        <v>2</v>
      </c>
      <c r="D49" s="82">
        <v>380</v>
      </c>
      <c r="E49" s="79">
        <f t="shared" si="10"/>
        <v>760</v>
      </c>
      <c r="G49" s="79">
        <f t="shared" si="6"/>
        <v>670.12345679012344</v>
      </c>
      <c r="H49" s="79">
        <f t="shared" si="7"/>
        <v>1340.2469135802469</v>
      </c>
      <c r="I49"/>
      <c r="J49" s="65">
        <f t="shared" si="8"/>
        <v>7.738146152310895</v>
      </c>
      <c r="K49" s="65">
        <f t="shared" si="9"/>
        <v>15.47629230462179</v>
      </c>
      <c r="M49" s="65">
        <v>35</v>
      </c>
    </row>
    <row r="50" spans="1:13" x14ac:dyDescent="0.3">
      <c r="A50">
        <v>8</v>
      </c>
      <c r="B50" t="s">
        <v>154</v>
      </c>
      <c r="C50">
        <v>6</v>
      </c>
      <c r="D50" s="82">
        <v>2495</v>
      </c>
      <c r="E50" s="79">
        <f t="shared" si="10"/>
        <v>14970</v>
      </c>
      <c r="G50" s="79">
        <f t="shared" si="6"/>
        <v>2785.1234567901233</v>
      </c>
      <c r="H50" s="79">
        <f t="shared" si="7"/>
        <v>16710.740740740741</v>
      </c>
      <c r="I50"/>
      <c r="J50" s="65">
        <f t="shared" si="8"/>
        <v>32.160778946768168</v>
      </c>
      <c r="K50" s="65">
        <f t="shared" si="9"/>
        <v>192.96467368060902</v>
      </c>
      <c r="M50" s="65">
        <v>90</v>
      </c>
    </row>
    <row r="51" spans="1:13" x14ac:dyDescent="0.3">
      <c r="A51">
        <v>9</v>
      </c>
      <c r="B51" t="s">
        <v>155</v>
      </c>
      <c r="C51">
        <v>4</v>
      </c>
      <c r="D51" s="82">
        <v>2195</v>
      </c>
      <c r="E51" s="79">
        <f t="shared" si="10"/>
        <v>8780</v>
      </c>
      <c r="G51" s="79">
        <f t="shared" si="6"/>
        <v>2485.1234567901233</v>
      </c>
      <c r="H51" s="79">
        <f t="shared" si="7"/>
        <v>9940.4938271604933</v>
      </c>
      <c r="I51"/>
      <c r="J51" s="65">
        <f t="shared" si="8"/>
        <v>28.69657571351182</v>
      </c>
      <c r="K51" s="65">
        <f t="shared" si="9"/>
        <v>114.78630285404728</v>
      </c>
      <c r="M51" s="65">
        <v>90</v>
      </c>
    </row>
    <row r="52" spans="1:13" x14ac:dyDescent="0.3">
      <c r="A52">
        <v>10</v>
      </c>
      <c r="B52" t="s">
        <v>156</v>
      </c>
      <c r="C52">
        <v>5</v>
      </c>
      <c r="D52" s="82">
        <v>2195</v>
      </c>
      <c r="E52" s="79">
        <f t="shared" si="10"/>
        <v>10975</v>
      </c>
      <c r="G52" s="79">
        <f t="shared" si="6"/>
        <v>2485.1234567901233</v>
      </c>
      <c r="H52" s="79">
        <f t="shared" si="7"/>
        <v>12425.617283950616</v>
      </c>
      <c r="I52"/>
      <c r="J52" s="65">
        <f t="shared" si="8"/>
        <v>28.69657571351182</v>
      </c>
      <c r="K52" s="65">
        <f t="shared" si="9"/>
        <v>143.48287856755908</v>
      </c>
      <c r="M52" s="65">
        <v>90</v>
      </c>
    </row>
    <row r="53" spans="1:13" x14ac:dyDescent="0.3">
      <c r="C53">
        <f>SUM(C43:C52)</f>
        <v>162</v>
      </c>
      <c r="D53" s="83" t="s">
        <v>35</v>
      </c>
      <c r="E53" s="78">
        <f>SUM(E43:E52)</f>
        <v>100230</v>
      </c>
      <c r="G53"/>
      <c r="I53"/>
      <c r="J53" s="80" t="s">
        <v>109</v>
      </c>
      <c r="K53" s="80">
        <f>SUM(K43:K52)</f>
        <v>1700.1154734411086</v>
      </c>
    </row>
    <row r="54" spans="1:13" x14ac:dyDescent="0.3">
      <c r="D54" s="83" t="s">
        <v>97</v>
      </c>
      <c r="E54" s="78">
        <v>47000</v>
      </c>
      <c r="G54"/>
      <c r="I54"/>
      <c r="J54" s="80"/>
      <c r="K54" s="106">
        <f>K53*86.6</f>
        <v>147230</v>
      </c>
    </row>
    <row r="55" spans="1:13" x14ac:dyDescent="0.3">
      <c r="D55" s="83" t="s">
        <v>100</v>
      </c>
      <c r="E55" s="78">
        <f>E54/SUM(C43:C52)</f>
        <v>290.12345679012344</v>
      </c>
      <c r="K55" s="79"/>
    </row>
    <row r="56" spans="1:13" x14ac:dyDescent="0.3">
      <c r="D56" s="83" t="s">
        <v>98</v>
      </c>
      <c r="E56" s="78">
        <f>E53+E54</f>
        <v>147230</v>
      </c>
      <c r="K56" s="79"/>
    </row>
    <row r="58" spans="1:13" s="167" customFormat="1" ht="18" x14ac:dyDescent="0.35">
      <c r="A58" s="165" t="s">
        <v>157</v>
      </c>
    </row>
    <row r="59" spans="1:13" ht="28.8" x14ac:dyDescent="0.3">
      <c r="A59" s="84" t="s">
        <v>65</v>
      </c>
      <c r="B59" s="84" t="s">
        <v>66</v>
      </c>
      <c r="C59" s="84" t="s">
        <v>67</v>
      </c>
      <c r="D59" s="85" t="s">
        <v>133</v>
      </c>
      <c r="E59" s="86" t="s">
        <v>68</v>
      </c>
      <c r="F59" s="86"/>
      <c r="G59" s="86" t="s">
        <v>134</v>
      </c>
      <c r="H59" s="88" t="s">
        <v>135</v>
      </c>
      <c r="I59" s="88"/>
      <c r="J59" s="89" t="s">
        <v>103</v>
      </c>
      <c r="K59" s="89" t="s">
        <v>104</v>
      </c>
    </row>
    <row r="60" spans="1:13" x14ac:dyDescent="0.3">
      <c r="A60">
        <v>1</v>
      </c>
      <c r="B60" t="s">
        <v>138</v>
      </c>
      <c r="C60">
        <v>40</v>
      </c>
      <c r="D60" s="110">
        <v>4250</v>
      </c>
      <c r="E60" s="109">
        <f>D60*C60</f>
        <v>170000</v>
      </c>
      <c r="G60" s="65">
        <f>D60/279.5</f>
        <v>15.205724508050089</v>
      </c>
      <c r="H60" s="65">
        <f>G60*C60</f>
        <v>608.22898032200351</v>
      </c>
      <c r="J60" s="65">
        <v>23</v>
      </c>
      <c r="K60" s="65">
        <f>J60*C60</f>
        <v>920</v>
      </c>
      <c r="M60" s="65">
        <v>65</v>
      </c>
    </row>
    <row r="62" spans="1:13" s="167" customFormat="1" ht="18" x14ac:dyDescent="0.35">
      <c r="A62" s="165" t="s">
        <v>158</v>
      </c>
    </row>
    <row r="63" spans="1:13" ht="28.8" x14ac:dyDescent="0.3">
      <c r="A63" s="84" t="s">
        <v>65</v>
      </c>
      <c r="B63" s="84" t="s">
        <v>66</v>
      </c>
      <c r="C63" s="84" t="s">
        <v>67</v>
      </c>
      <c r="D63" s="85" t="s">
        <v>133</v>
      </c>
      <c r="E63" s="86" t="s">
        <v>68</v>
      </c>
      <c r="F63" s="86"/>
      <c r="G63" s="77" t="s">
        <v>101</v>
      </c>
      <c r="H63" s="77" t="s">
        <v>102</v>
      </c>
      <c r="I63"/>
      <c r="J63" s="89" t="s">
        <v>103</v>
      </c>
      <c r="K63" s="89" t="s">
        <v>104</v>
      </c>
    </row>
    <row r="64" spans="1:13" x14ac:dyDescent="0.3">
      <c r="A64">
        <v>1</v>
      </c>
      <c r="B64" t="s">
        <v>136</v>
      </c>
      <c r="C64">
        <v>42</v>
      </c>
      <c r="D64" s="110">
        <v>5000</v>
      </c>
      <c r="E64" s="109">
        <f>D64*C64</f>
        <v>210000</v>
      </c>
      <c r="G64" s="109">
        <f>D64+$E$68</f>
        <v>6872</v>
      </c>
      <c r="H64" s="109">
        <f>G64*C64</f>
        <v>288624</v>
      </c>
      <c r="I64"/>
      <c r="J64" s="65">
        <f>G64/279.5</f>
        <v>24.586762075134168</v>
      </c>
      <c r="K64" s="65">
        <f>H64/279.5</f>
        <v>1032.6440071556351</v>
      </c>
      <c r="M64" s="65">
        <v>65</v>
      </c>
    </row>
    <row r="65" spans="1:13" x14ac:dyDescent="0.3">
      <c r="A65">
        <v>2</v>
      </c>
      <c r="B65" t="s">
        <v>137</v>
      </c>
      <c r="C65">
        <v>48</v>
      </c>
      <c r="D65" s="110">
        <v>4250</v>
      </c>
      <c r="E65" s="109">
        <f>D65*C65</f>
        <v>204000</v>
      </c>
      <c r="G65" s="109">
        <f>D65+$E$68</f>
        <v>6122</v>
      </c>
      <c r="H65" s="109">
        <f>G65*C65</f>
        <v>293856</v>
      </c>
      <c r="I65"/>
      <c r="J65" s="65">
        <f>G65/279.5</f>
        <v>21.903398926654742</v>
      </c>
      <c r="K65" s="65">
        <f>H65/279.5</f>
        <v>1051.3631484794275</v>
      </c>
      <c r="M65" s="65">
        <v>65</v>
      </c>
    </row>
    <row r="66" spans="1:13" x14ac:dyDescent="0.3">
      <c r="D66" s="83" t="s">
        <v>35</v>
      </c>
      <c r="E66" s="117">
        <f>E65+E64</f>
        <v>414000</v>
      </c>
      <c r="F66" s="78"/>
      <c r="G66" s="78"/>
      <c r="I66"/>
      <c r="J66" s="65"/>
      <c r="K66" s="65"/>
    </row>
    <row r="67" spans="1:13" x14ac:dyDescent="0.3">
      <c r="D67" s="83" t="s">
        <v>97</v>
      </c>
      <c r="E67" s="117">
        <v>168480</v>
      </c>
      <c r="F67" s="78"/>
      <c r="G67" s="80">
        <f>E66/280</f>
        <v>1478.5714285714287</v>
      </c>
      <c r="K67" s="105"/>
    </row>
    <row r="68" spans="1:13" x14ac:dyDescent="0.3">
      <c r="D68" s="83" t="s">
        <v>100</v>
      </c>
      <c r="E68" s="117">
        <f>E67/SUM(C64:C65)</f>
        <v>1872</v>
      </c>
      <c r="F68" s="78"/>
      <c r="G68" s="78"/>
      <c r="I68" s="111"/>
    </row>
    <row r="69" spans="1:13" x14ac:dyDescent="0.3">
      <c r="D69" s="83" t="s">
        <v>98</v>
      </c>
      <c r="E69" s="117">
        <f>E67+E66</f>
        <v>582480</v>
      </c>
      <c r="F69" s="78"/>
      <c r="G69" s="78"/>
    </row>
    <row r="71" spans="1:13" s="166" customFormat="1" ht="18" x14ac:dyDescent="0.35">
      <c r="A71" s="165" t="s">
        <v>159</v>
      </c>
    </row>
    <row r="72" spans="1:13" ht="28.8" x14ac:dyDescent="0.3">
      <c r="A72" s="84" t="s">
        <v>65</v>
      </c>
      <c r="B72" s="84" t="s">
        <v>66</v>
      </c>
      <c r="C72" s="84" t="s">
        <v>67</v>
      </c>
      <c r="D72" s="85" t="s">
        <v>7</v>
      </c>
      <c r="E72" s="86" t="s">
        <v>68</v>
      </c>
      <c r="F72" s="86"/>
      <c r="G72" s="77" t="s">
        <v>101</v>
      </c>
      <c r="H72" s="77" t="s">
        <v>102</v>
      </c>
      <c r="I72"/>
      <c r="J72" s="89" t="s">
        <v>103</v>
      </c>
      <c r="K72" s="89" t="s">
        <v>104</v>
      </c>
      <c r="M72" s="89" t="s">
        <v>121</v>
      </c>
    </row>
    <row r="73" spans="1:13" x14ac:dyDescent="0.3">
      <c r="A73">
        <v>1</v>
      </c>
      <c r="B73" t="s">
        <v>139</v>
      </c>
      <c r="C73">
        <v>2</v>
      </c>
      <c r="D73" s="82">
        <v>3050</v>
      </c>
      <c r="E73" s="79">
        <f>D73*C73</f>
        <v>6100</v>
      </c>
      <c r="G73" s="79">
        <f>D73+$E$86</f>
        <v>4165.3062499999996</v>
      </c>
      <c r="H73" s="79">
        <f>G73*C73</f>
        <v>8330.6124999999993</v>
      </c>
      <c r="J73" s="65">
        <f>G73/85</f>
        <v>49.003602941176467</v>
      </c>
      <c r="K73" s="105">
        <f>J73*C73</f>
        <v>98.007205882352935</v>
      </c>
      <c r="M73" s="65">
        <v>135</v>
      </c>
    </row>
    <row r="74" spans="1:13" x14ac:dyDescent="0.3">
      <c r="A74">
        <v>2</v>
      </c>
      <c r="B74" t="s">
        <v>141</v>
      </c>
      <c r="C74">
        <v>2</v>
      </c>
      <c r="D74" s="82">
        <v>2895</v>
      </c>
      <c r="E74" s="79">
        <f t="shared" ref="E74:E83" si="11">D74*C74</f>
        <v>5790</v>
      </c>
      <c r="G74" s="79">
        <f t="shared" ref="G74:G83" si="12">D74+$E$86</f>
        <v>4010.3062500000001</v>
      </c>
      <c r="H74" s="79">
        <f t="shared" ref="H74:H83" si="13">G74*C74</f>
        <v>8020.6125000000002</v>
      </c>
      <c r="J74" s="65">
        <f t="shared" ref="J74:J83" si="14">G74/85</f>
        <v>47.180073529411764</v>
      </c>
      <c r="K74" s="105">
        <f t="shared" ref="K74:K83" si="15">J74*C74</f>
        <v>94.360147058823529</v>
      </c>
      <c r="M74" s="65">
        <v>135</v>
      </c>
    </row>
    <row r="75" spans="1:13" x14ac:dyDescent="0.3">
      <c r="A75">
        <v>3</v>
      </c>
      <c r="B75" t="s">
        <v>140</v>
      </c>
      <c r="C75">
        <v>2</v>
      </c>
      <c r="D75" s="82">
        <v>2650</v>
      </c>
      <c r="E75" s="79">
        <f t="shared" si="11"/>
        <v>5300</v>
      </c>
      <c r="G75" s="79">
        <f t="shared" si="12"/>
        <v>3765.3062500000001</v>
      </c>
      <c r="H75" s="79">
        <f t="shared" si="13"/>
        <v>7530.6125000000002</v>
      </c>
      <c r="J75" s="65">
        <f t="shared" si="14"/>
        <v>44.297720588235293</v>
      </c>
      <c r="K75" s="105">
        <f t="shared" si="15"/>
        <v>88.595441176470587</v>
      </c>
      <c r="M75" s="65">
        <v>135</v>
      </c>
    </row>
    <row r="76" spans="1:13" x14ac:dyDescent="0.3">
      <c r="A76">
        <v>4</v>
      </c>
      <c r="B76" t="s">
        <v>142</v>
      </c>
      <c r="C76">
        <v>3</v>
      </c>
      <c r="D76" s="82">
        <v>3195</v>
      </c>
      <c r="E76" s="79">
        <f t="shared" si="11"/>
        <v>9585</v>
      </c>
      <c r="G76" s="79">
        <f t="shared" si="12"/>
        <v>4310.3062499999996</v>
      </c>
      <c r="H76" s="79">
        <f t="shared" si="13"/>
        <v>12930.918749999999</v>
      </c>
      <c r="J76" s="65">
        <f t="shared" si="14"/>
        <v>50.709485294117641</v>
      </c>
      <c r="K76" s="105">
        <f t="shared" si="15"/>
        <v>152.12845588235291</v>
      </c>
      <c r="M76" s="65">
        <v>135</v>
      </c>
    </row>
    <row r="77" spans="1:13" x14ac:dyDescent="0.3">
      <c r="A77">
        <v>5</v>
      </c>
      <c r="B77" t="s">
        <v>149</v>
      </c>
      <c r="C77">
        <v>3</v>
      </c>
      <c r="D77" s="82">
        <v>3395</v>
      </c>
      <c r="E77" s="79">
        <f t="shared" si="11"/>
        <v>10185</v>
      </c>
      <c r="G77" s="79">
        <f t="shared" si="12"/>
        <v>4510.3062499999996</v>
      </c>
      <c r="H77" s="79">
        <f t="shared" si="13"/>
        <v>13530.918749999999</v>
      </c>
      <c r="J77" s="65">
        <f t="shared" si="14"/>
        <v>53.062426470588228</v>
      </c>
      <c r="K77" s="105">
        <f t="shared" si="15"/>
        <v>159.18727941176468</v>
      </c>
      <c r="M77" s="65">
        <v>135</v>
      </c>
    </row>
    <row r="78" spans="1:13" x14ac:dyDescent="0.3">
      <c r="A78">
        <v>6</v>
      </c>
      <c r="B78" t="s">
        <v>143</v>
      </c>
      <c r="C78">
        <v>1</v>
      </c>
      <c r="D78" s="82">
        <v>3395</v>
      </c>
      <c r="E78" s="79">
        <f t="shared" si="11"/>
        <v>3395</v>
      </c>
      <c r="G78" s="79">
        <f t="shared" si="12"/>
        <v>4510.3062499999996</v>
      </c>
      <c r="H78" s="79">
        <f t="shared" si="13"/>
        <v>4510.3062499999996</v>
      </c>
      <c r="J78" s="65">
        <f t="shared" si="14"/>
        <v>53.062426470588228</v>
      </c>
      <c r="K78" s="105">
        <f t="shared" si="15"/>
        <v>53.062426470588228</v>
      </c>
      <c r="M78" s="65">
        <v>135</v>
      </c>
    </row>
    <row r="79" spans="1:13" x14ac:dyDescent="0.3">
      <c r="A79">
        <v>7</v>
      </c>
      <c r="B79" t="s">
        <v>144</v>
      </c>
      <c r="C79">
        <v>2</v>
      </c>
      <c r="D79" s="82">
        <v>2995</v>
      </c>
      <c r="E79" s="79">
        <f t="shared" si="11"/>
        <v>5990</v>
      </c>
      <c r="G79" s="79">
        <f t="shared" si="12"/>
        <v>4110.3062499999996</v>
      </c>
      <c r="H79" s="79">
        <f t="shared" si="13"/>
        <v>8220.6124999999993</v>
      </c>
      <c r="J79" s="65">
        <f t="shared" si="14"/>
        <v>48.356544117647054</v>
      </c>
      <c r="K79" s="105">
        <f t="shared" si="15"/>
        <v>96.713088235294109</v>
      </c>
      <c r="M79" s="65">
        <v>155</v>
      </c>
    </row>
    <row r="80" spans="1:13" x14ac:dyDescent="0.3">
      <c r="A80">
        <v>8</v>
      </c>
      <c r="B80" t="s">
        <v>145</v>
      </c>
      <c r="C80">
        <v>2</v>
      </c>
      <c r="D80" s="82">
        <v>3795</v>
      </c>
      <c r="E80" s="79">
        <f>D80*C80</f>
        <v>7590</v>
      </c>
      <c r="G80" s="79">
        <f t="shared" si="12"/>
        <v>4910.3062499999996</v>
      </c>
      <c r="H80" s="79">
        <f t="shared" si="13"/>
        <v>9820.6124999999993</v>
      </c>
      <c r="J80" s="65">
        <f t="shared" si="14"/>
        <v>57.768308823529409</v>
      </c>
      <c r="K80" s="105">
        <f t="shared" si="15"/>
        <v>115.53661764705882</v>
      </c>
      <c r="M80" s="65">
        <v>135</v>
      </c>
    </row>
    <row r="81" spans="1:13" x14ac:dyDescent="0.3">
      <c r="A81">
        <v>9</v>
      </c>
      <c r="B81" t="s">
        <v>146</v>
      </c>
      <c r="C81">
        <v>1</v>
      </c>
      <c r="D81" s="82">
        <v>2200</v>
      </c>
      <c r="E81" s="79">
        <f t="shared" si="11"/>
        <v>2200</v>
      </c>
      <c r="G81" s="79">
        <f t="shared" si="12"/>
        <v>3315.3062500000001</v>
      </c>
      <c r="H81" s="79">
        <f t="shared" si="13"/>
        <v>3315.3062500000001</v>
      </c>
      <c r="J81" s="65">
        <f t="shared" si="14"/>
        <v>39.003602941176474</v>
      </c>
      <c r="K81" s="105">
        <f t="shared" si="15"/>
        <v>39.003602941176474</v>
      </c>
      <c r="M81" s="65">
        <v>135</v>
      </c>
    </row>
    <row r="82" spans="1:13" x14ac:dyDescent="0.3">
      <c r="A82">
        <v>10</v>
      </c>
      <c r="B82" t="s">
        <v>147</v>
      </c>
      <c r="C82">
        <v>3</v>
      </c>
      <c r="D82" s="82">
        <v>2200</v>
      </c>
      <c r="E82" s="79">
        <f t="shared" si="11"/>
        <v>6600</v>
      </c>
      <c r="G82" s="79">
        <f t="shared" si="12"/>
        <v>3315.3062500000001</v>
      </c>
      <c r="H82" s="79">
        <f t="shared" si="13"/>
        <v>9945.9187500000007</v>
      </c>
      <c r="J82" s="65">
        <f t="shared" si="14"/>
        <v>39.003602941176474</v>
      </c>
      <c r="K82" s="105">
        <f t="shared" si="15"/>
        <v>117.01080882352943</v>
      </c>
      <c r="M82" s="65">
        <v>135</v>
      </c>
    </row>
    <row r="83" spans="1:13" x14ac:dyDescent="0.3">
      <c r="A83">
        <v>11</v>
      </c>
      <c r="B83" t="s">
        <v>148</v>
      </c>
      <c r="C83">
        <v>3</v>
      </c>
      <c r="D83" s="82">
        <v>2950</v>
      </c>
      <c r="E83" s="79">
        <f t="shared" si="11"/>
        <v>8850</v>
      </c>
      <c r="G83" s="79">
        <f t="shared" si="12"/>
        <v>4065.3062500000001</v>
      </c>
      <c r="H83" s="79">
        <f t="shared" si="13"/>
        <v>12195.918750000001</v>
      </c>
      <c r="J83" s="65">
        <f t="shared" si="14"/>
        <v>47.827132352941177</v>
      </c>
      <c r="K83" s="105">
        <f t="shared" si="15"/>
        <v>143.48139705882352</v>
      </c>
      <c r="M83" s="65">
        <v>135</v>
      </c>
    </row>
    <row r="84" spans="1:13" x14ac:dyDescent="0.3">
      <c r="C84">
        <f>SUM(C73:C83)</f>
        <v>24</v>
      </c>
      <c r="D84" s="83" t="s">
        <v>35</v>
      </c>
      <c r="E84" s="78">
        <f>SUM(E73:E83)</f>
        <v>71585</v>
      </c>
      <c r="J84" s="79"/>
      <c r="K84" s="116">
        <f>SUM(K73:K83)</f>
        <v>1157.086470588235</v>
      </c>
    </row>
    <row r="85" spans="1:13" x14ac:dyDescent="0.3">
      <c r="D85" s="83" t="s">
        <v>97</v>
      </c>
      <c r="E85" s="81">
        <f>85*314.91</f>
        <v>26767.350000000002</v>
      </c>
      <c r="J85" s="79"/>
      <c r="K85" s="116">
        <f>K84*85</f>
        <v>98352.349999999977</v>
      </c>
    </row>
    <row r="86" spans="1:13" x14ac:dyDescent="0.3">
      <c r="D86" s="83" t="s">
        <v>100</v>
      </c>
      <c r="E86" s="78">
        <f>E85/24</f>
        <v>1115.3062500000001</v>
      </c>
      <c r="J86" s="79"/>
    </row>
    <row r="87" spans="1:13" x14ac:dyDescent="0.3">
      <c r="D87" s="83" t="s">
        <v>98</v>
      </c>
      <c r="E87" s="78">
        <f>E85+E84</f>
        <v>98352.35</v>
      </c>
      <c r="J87" s="79"/>
    </row>
    <row r="90" spans="1:13" s="166" customFormat="1" ht="18" x14ac:dyDescent="0.35">
      <c r="A90" s="165" t="s">
        <v>164</v>
      </c>
    </row>
    <row r="91" spans="1:13" ht="28.8" x14ac:dyDescent="0.3">
      <c r="A91" s="84" t="s">
        <v>65</v>
      </c>
      <c r="B91" s="84" t="s">
        <v>66</v>
      </c>
      <c r="C91" s="84" t="s">
        <v>67</v>
      </c>
      <c r="D91" s="85" t="s">
        <v>7</v>
      </c>
      <c r="E91" s="86" t="s">
        <v>68</v>
      </c>
      <c r="F91" s="86"/>
      <c r="G91" s="77" t="s">
        <v>101</v>
      </c>
      <c r="H91" s="77" t="s">
        <v>102</v>
      </c>
      <c r="I91"/>
      <c r="J91" s="89" t="s">
        <v>103</v>
      </c>
      <c r="K91" s="89" t="s">
        <v>104</v>
      </c>
      <c r="M91" s="89" t="s">
        <v>121</v>
      </c>
    </row>
    <row r="92" spans="1:13" x14ac:dyDescent="0.3">
      <c r="A92">
        <v>1</v>
      </c>
      <c r="B92" t="s">
        <v>165</v>
      </c>
      <c r="C92">
        <v>3</v>
      </c>
      <c r="D92" s="82">
        <v>2995</v>
      </c>
      <c r="E92" s="79">
        <f>D92*C92</f>
        <v>8985</v>
      </c>
      <c r="G92" s="79">
        <f>D92 + $E$108</f>
        <v>3720.8333333333335</v>
      </c>
      <c r="H92" s="79">
        <f>G92*C92</f>
        <v>11162.5</v>
      </c>
      <c r="J92" s="65">
        <f>G92/86</f>
        <v>43.265503875968996</v>
      </c>
      <c r="K92" s="65">
        <f>H92/86</f>
        <v>129.79651162790697</v>
      </c>
    </row>
    <row r="93" spans="1:13" x14ac:dyDescent="0.3">
      <c r="A93">
        <v>2</v>
      </c>
      <c r="B93" t="s">
        <v>166</v>
      </c>
      <c r="C93">
        <v>4</v>
      </c>
      <c r="D93" s="82">
        <v>3195</v>
      </c>
      <c r="E93" s="79">
        <f t="shared" ref="E93:E105" si="16">D93*C93</f>
        <v>12780</v>
      </c>
      <c r="G93" s="79">
        <f t="shared" ref="G93:G105" si="17">D93 + $E$108</f>
        <v>3920.8333333333335</v>
      </c>
      <c r="H93" s="79">
        <f t="shared" ref="H93:H109" si="18">G93*C93</f>
        <v>15683.333333333334</v>
      </c>
      <c r="J93" s="65">
        <f t="shared" ref="J93:J109" si="19">G93/86</f>
        <v>45.59108527131783</v>
      </c>
      <c r="K93" s="65">
        <f t="shared" ref="K93:K105" si="20">H93/86</f>
        <v>182.36434108527132</v>
      </c>
    </row>
    <row r="94" spans="1:13" x14ac:dyDescent="0.3">
      <c r="A94">
        <v>3</v>
      </c>
      <c r="B94" t="s">
        <v>167</v>
      </c>
      <c r="C94">
        <v>3</v>
      </c>
      <c r="D94" s="82">
        <v>3395</v>
      </c>
      <c r="E94" s="79">
        <f t="shared" si="16"/>
        <v>10185</v>
      </c>
      <c r="G94" s="79">
        <f t="shared" si="17"/>
        <v>4120.833333333333</v>
      </c>
      <c r="H94" s="79">
        <f t="shared" si="18"/>
        <v>12362.5</v>
      </c>
      <c r="J94" s="65">
        <f t="shared" si="19"/>
        <v>47.916666666666664</v>
      </c>
      <c r="K94" s="65">
        <f t="shared" si="20"/>
        <v>143.75</v>
      </c>
    </row>
    <row r="95" spans="1:13" x14ac:dyDescent="0.3">
      <c r="A95">
        <v>4</v>
      </c>
      <c r="B95" t="s">
        <v>168</v>
      </c>
      <c r="C95">
        <v>3</v>
      </c>
      <c r="D95" s="82">
        <v>3395</v>
      </c>
      <c r="E95" s="79">
        <f t="shared" si="16"/>
        <v>10185</v>
      </c>
      <c r="G95" s="79">
        <f t="shared" si="17"/>
        <v>4120.833333333333</v>
      </c>
      <c r="H95" s="79">
        <f t="shared" si="18"/>
        <v>12362.5</v>
      </c>
      <c r="J95" s="65">
        <f t="shared" si="19"/>
        <v>47.916666666666664</v>
      </c>
      <c r="K95" s="65">
        <f t="shared" si="20"/>
        <v>143.75</v>
      </c>
    </row>
    <row r="96" spans="1:13" x14ac:dyDescent="0.3">
      <c r="A96">
        <v>5</v>
      </c>
      <c r="B96" t="s">
        <v>169</v>
      </c>
      <c r="C96">
        <v>3</v>
      </c>
      <c r="D96" s="82">
        <v>3495</v>
      </c>
      <c r="E96" s="79">
        <f t="shared" si="16"/>
        <v>10485</v>
      </c>
      <c r="G96" s="79">
        <f t="shared" si="17"/>
        <v>4220.833333333333</v>
      </c>
      <c r="H96" s="79">
        <f t="shared" si="18"/>
        <v>12662.5</v>
      </c>
      <c r="J96" s="65">
        <f t="shared" si="19"/>
        <v>49.079457364341081</v>
      </c>
      <c r="K96" s="65">
        <f t="shared" si="20"/>
        <v>147.23837209302326</v>
      </c>
    </row>
    <row r="97" spans="1:11" x14ac:dyDescent="0.3">
      <c r="A97">
        <v>6</v>
      </c>
      <c r="B97" t="s">
        <v>176</v>
      </c>
      <c r="C97">
        <v>4</v>
      </c>
      <c r="D97" s="82">
        <v>3195</v>
      </c>
      <c r="E97" s="79">
        <f t="shared" si="16"/>
        <v>12780</v>
      </c>
      <c r="G97" s="79">
        <f t="shared" si="17"/>
        <v>3920.8333333333335</v>
      </c>
      <c r="H97" s="79">
        <f t="shared" si="18"/>
        <v>15683.333333333334</v>
      </c>
      <c r="J97" s="65">
        <f t="shared" si="19"/>
        <v>45.59108527131783</v>
      </c>
      <c r="K97" s="65">
        <f t="shared" si="20"/>
        <v>182.36434108527132</v>
      </c>
    </row>
    <row r="98" spans="1:11" x14ac:dyDescent="0.3">
      <c r="A98">
        <v>7</v>
      </c>
      <c r="B98" t="s">
        <v>170</v>
      </c>
      <c r="C98">
        <v>4</v>
      </c>
      <c r="D98" s="82">
        <v>2895</v>
      </c>
      <c r="E98" s="79">
        <f t="shared" si="16"/>
        <v>11580</v>
      </c>
      <c r="G98" s="79">
        <f t="shared" si="17"/>
        <v>3620.8333333333335</v>
      </c>
      <c r="H98" s="79">
        <f t="shared" si="18"/>
        <v>14483.333333333334</v>
      </c>
      <c r="J98" s="65">
        <f t="shared" si="19"/>
        <v>42.102713178294579</v>
      </c>
      <c r="K98" s="65">
        <f t="shared" si="20"/>
        <v>168.41085271317831</v>
      </c>
    </row>
    <row r="99" spans="1:11" x14ac:dyDescent="0.3">
      <c r="A99">
        <v>8</v>
      </c>
      <c r="B99" t="s">
        <v>171</v>
      </c>
      <c r="C99">
        <v>6</v>
      </c>
      <c r="D99" s="82">
        <v>2895</v>
      </c>
      <c r="E99" s="79">
        <f t="shared" si="16"/>
        <v>17370</v>
      </c>
      <c r="G99" s="79">
        <f t="shared" si="17"/>
        <v>3620.8333333333335</v>
      </c>
      <c r="H99" s="79">
        <f t="shared" si="18"/>
        <v>21725</v>
      </c>
      <c r="J99" s="65">
        <f t="shared" si="19"/>
        <v>42.102713178294579</v>
      </c>
      <c r="K99" s="65">
        <f t="shared" si="20"/>
        <v>252.61627906976744</v>
      </c>
    </row>
    <row r="100" spans="1:11" x14ac:dyDescent="0.3">
      <c r="A100">
        <v>9</v>
      </c>
      <c r="B100" t="s">
        <v>172</v>
      </c>
      <c r="C100">
        <v>3</v>
      </c>
      <c r="D100" s="82">
        <v>3395</v>
      </c>
      <c r="E100" s="79">
        <f t="shared" si="16"/>
        <v>10185</v>
      </c>
      <c r="G100" s="79">
        <f t="shared" si="17"/>
        <v>4120.833333333333</v>
      </c>
      <c r="H100" s="79">
        <f t="shared" si="18"/>
        <v>12362.5</v>
      </c>
      <c r="J100" s="65">
        <f t="shared" si="19"/>
        <v>47.916666666666664</v>
      </c>
      <c r="K100" s="65">
        <f t="shared" si="20"/>
        <v>143.75</v>
      </c>
    </row>
    <row r="101" spans="1:11" x14ac:dyDescent="0.3">
      <c r="A101">
        <v>10</v>
      </c>
      <c r="B101" t="s">
        <v>173</v>
      </c>
      <c r="C101">
        <v>2</v>
      </c>
      <c r="D101" s="82">
        <v>3895</v>
      </c>
      <c r="E101" s="79">
        <f t="shared" si="16"/>
        <v>7790</v>
      </c>
      <c r="G101" s="79">
        <f t="shared" si="17"/>
        <v>4620.833333333333</v>
      </c>
      <c r="H101" s="79">
        <f t="shared" si="18"/>
        <v>9241.6666666666661</v>
      </c>
      <c r="J101" s="65">
        <f t="shared" si="19"/>
        <v>53.730620155038757</v>
      </c>
      <c r="K101" s="65">
        <f t="shared" si="20"/>
        <v>107.46124031007751</v>
      </c>
    </row>
    <row r="102" spans="1:11" x14ac:dyDescent="0.3">
      <c r="A102">
        <v>11</v>
      </c>
      <c r="B102" t="s">
        <v>174</v>
      </c>
      <c r="C102">
        <v>3</v>
      </c>
      <c r="D102" s="82">
        <v>3450</v>
      </c>
      <c r="E102" s="79">
        <f t="shared" si="16"/>
        <v>10350</v>
      </c>
      <c r="G102" s="79">
        <f t="shared" si="17"/>
        <v>4175.833333333333</v>
      </c>
      <c r="H102" s="79">
        <f t="shared" si="18"/>
        <v>12527.5</v>
      </c>
      <c r="J102" s="65">
        <f t="shared" si="19"/>
        <v>48.556201550387591</v>
      </c>
      <c r="K102" s="65">
        <f t="shared" si="20"/>
        <v>145.66860465116278</v>
      </c>
    </row>
    <row r="103" spans="1:11" x14ac:dyDescent="0.3">
      <c r="A103">
        <v>12</v>
      </c>
      <c r="B103" t="s">
        <v>175</v>
      </c>
      <c r="C103">
        <v>3</v>
      </c>
      <c r="D103" s="82">
        <v>3095</v>
      </c>
      <c r="E103" s="79">
        <f t="shared" si="16"/>
        <v>9285</v>
      </c>
      <c r="G103" s="79">
        <f t="shared" si="17"/>
        <v>3820.8333333333335</v>
      </c>
      <c r="H103" s="79">
        <f t="shared" si="18"/>
        <v>11462.5</v>
      </c>
      <c r="J103" s="65">
        <f t="shared" si="19"/>
        <v>44.428294573643413</v>
      </c>
      <c r="K103" s="65">
        <f t="shared" si="20"/>
        <v>133.28488372093022</v>
      </c>
    </row>
    <row r="104" spans="1:11" x14ac:dyDescent="0.3">
      <c r="A104">
        <v>13</v>
      </c>
      <c r="B104" t="s">
        <v>177</v>
      </c>
      <c r="C104">
        <v>3</v>
      </c>
      <c r="D104" s="82">
        <v>2795</v>
      </c>
      <c r="E104" s="79">
        <f t="shared" si="16"/>
        <v>8385</v>
      </c>
      <c r="G104" s="79">
        <f t="shared" si="17"/>
        <v>3520.8333333333335</v>
      </c>
      <c r="H104" s="79">
        <f t="shared" si="18"/>
        <v>10562.5</v>
      </c>
      <c r="J104" s="65">
        <f t="shared" si="19"/>
        <v>40.939922480620154</v>
      </c>
      <c r="K104" s="65">
        <f t="shared" si="20"/>
        <v>122.81976744186046</v>
      </c>
    </row>
    <row r="105" spans="1:11" x14ac:dyDescent="0.3">
      <c r="A105">
        <v>14</v>
      </c>
      <c r="B105" t="s">
        <v>178</v>
      </c>
      <c r="C105">
        <v>4</v>
      </c>
      <c r="D105" s="82">
        <v>2895</v>
      </c>
      <c r="E105" s="79">
        <f t="shared" si="16"/>
        <v>11580</v>
      </c>
      <c r="G105" s="79">
        <f t="shared" si="17"/>
        <v>3620.8333333333335</v>
      </c>
      <c r="H105" s="79">
        <f t="shared" si="18"/>
        <v>14483.333333333334</v>
      </c>
      <c r="J105" s="65">
        <f t="shared" si="19"/>
        <v>42.102713178294579</v>
      </c>
      <c r="K105" s="65">
        <f t="shared" si="20"/>
        <v>168.41085271317831</v>
      </c>
    </row>
    <row r="106" spans="1:11" x14ac:dyDescent="0.3">
      <c r="C106">
        <f>SUM(C92:C105)</f>
        <v>48</v>
      </c>
      <c r="D106" s="83" t="s">
        <v>35</v>
      </c>
      <c r="E106" s="78">
        <f>SUM(E92:E105)</f>
        <v>151925</v>
      </c>
      <c r="J106" s="79"/>
    </row>
    <row r="107" spans="1:11" x14ac:dyDescent="0.3">
      <c r="D107" s="83" t="s">
        <v>97</v>
      </c>
      <c r="E107" s="81">
        <f>11440 + 11960 + 11440</f>
        <v>34840</v>
      </c>
      <c r="J107" s="79"/>
    </row>
    <row r="108" spans="1:11" x14ac:dyDescent="0.3">
      <c r="D108" s="83" t="s">
        <v>100</v>
      </c>
      <c r="E108" s="78">
        <f>E107/C106</f>
        <v>725.83333333333337</v>
      </c>
      <c r="J108" s="79"/>
    </row>
    <row r="109" spans="1:11" x14ac:dyDescent="0.3">
      <c r="D109" s="83" t="s">
        <v>98</v>
      </c>
      <c r="E109" s="78">
        <f>E107+E106</f>
        <v>186765</v>
      </c>
      <c r="J109" s="79"/>
    </row>
  </sheetData>
  <mergeCells count="7">
    <mergeCell ref="A90:XFD90"/>
    <mergeCell ref="A71:XFD71"/>
    <mergeCell ref="A1:XFD1"/>
    <mergeCell ref="A41:XFD41"/>
    <mergeCell ref="A31:XFD31"/>
    <mergeCell ref="A58:XFD58"/>
    <mergeCell ref="A62:XFD6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A614F-86B4-4B4F-925A-78E60BD7A22D}">
  <sheetPr codeName="Sheet4"/>
  <dimension ref="A1:F30"/>
  <sheetViews>
    <sheetView workbookViewId="0">
      <selection activeCell="I27" sqref="I27"/>
    </sheetView>
  </sheetViews>
  <sheetFormatPr defaultRowHeight="14.4" x14ac:dyDescent="0.3"/>
  <cols>
    <col min="2" max="2" width="26.6640625" customWidth="1"/>
  </cols>
  <sheetData>
    <row r="1" spans="1:6" x14ac:dyDescent="0.3">
      <c r="A1" s="179" t="s">
        <v>46</v>
      </c>
      <c r="B1" s="180"/>
      <c r="C1" s="180"/>
      <c r="D1" s="180"/>
      <c r="E1" s="180"/>
      <c r="F1" s="181"/>
    </row>
    <row r="2" spans="1:6" ht="40.200000000000003" x14ac:dyDescent="0.8">
      <c r="A2" s="137"/>
      <c r="B2" s="140" t="s">
        <v>47</v>
      </c>
      <c r="C2" s="140"/>
      <c r="D2" s="140"/>
      <c r="E2" s="140"/>
      <c r="F2" s="141"/>
    </row>
    <row r="3" spans="1:6" x14ac:dyDescent="0.3">
      <c r="A3" s="138"/>
      <c r="B3" s="142" t="s">
        <v>59</v>
      </c>
      <c r="C3" s="142"/>
      <c r="D3" s="142"/>
      <c r="E3" s="142"/>
      <c r="F3" s="143"/>
    </row>
    <row r="4" spans="1:6" x14ac:dyDescent="0.3">
      <c r="A4" s="138"/>
      <c r="B4" s="142" t="s">
        <v>60</v>
      </c>
      <c r="C4" s="142"/>
      <c r="D4" s="142"/>
      <c r="E4" s="142"/>
      <c r="F4" s="143"/>
    </row>
    <row r="5" spans="1:6" x14ac:dyDescent="0.3">
      <c r="A5" s="139"/>
      <c r="B5" s="26"/>
      <c r="C5" s="27"/>
      <c r="D5" s="27"/>
      <c r="E5" s="144"/>
      <c r="F5" s="145"/>
    </row>
    <row r="6" spans="1:6" x14ac:dyDescent="0.3">
      <c r="A6" s="28"/>
      <c r="B6" s="29"/>
      <c r="C6" s="29"/>
      <c r="D6" s="29"/>
      <c r="E6" s="29"/>
      <c r="F6" s="30"/>
    </row>
    <row r="7" spans="1:6" x14ac:dyDescent="0.3">
      <c r="A7" s="31" t="s">
        <v>48</v>
      </c>
      <c r="B7" s="32"/>
      <c r="C7" s="33"/>
      <c r="D7" s="34" t="s">
        <v>49</v>
      </c>
      <c r="E7" s="130">
        <f ca="1">NOW()</f>
        <v>45739.724703472224</v>
      </c>
      <c r="F7" s="131"/>
    </row>
    <row r="8" spans="1:6" x14ac:dyDescent="0.3">
      <c r="A8" s="35" t="s">
        <v>50</v>
      </c>
      <c r="B8" s="55" t="e">
        <f xml:space="preserve"> IF(ISBLANK(#REF!), "",#REF!)</f>
        <v>#REF!</v>
      </c>
      <c r="C8" s="33"/>
      <c r="D8" s="34" t="s">
        <v>51</v>
      </c>
      <c r="E8" s="132"/>
      <c r="F8" s="133"/>
    </row>
    <row r="9" spans="1:6" x14ac:dyDescent="0.3">
      <c r="A9" s="35" t="s">
        <v>44</v>
      </c>
      <c r="B9" s="36" t="e">
        <f xml:space="preserve"> IF(ISBLANK(#REF!), "",#REF!)</f>
        <v>#REF!</v>
      </c>
      <c r="C9" s="33"/>
      <c r="D9" s="34" t="s">
        <v>52</v>
      </c>
      <c r="E9" s="132" t="e">
        <f xml:space="preserve"> IF(ISBLANK(#REF!), "",#REF!)</f>
        <v>#REF!</v>
      </c>
      <c r="F9" s="133"/>
    </row>
    <row r="10" spans="1:6" x14ac:dyDescent="0.3">
      <c r="A10" s="35" t="s">
        <v>45</v>
      </c>
      <c r="B10" s="36" t="e">
        <f xml:space="preserve"> IF(ISBLANK(#REF!), "",#REF!)</f>
        <v>#REF!</v>
      </c>
      <c r="C10" s="32"/>
      <c r="D10" s="34" t="s">
        <v>53</v>
      </c>
      <c r="E10" s="132" t="e">
        <f xml:space="preserve"> IF(ISBLANK(#REF!), "",#REF!)</f>
        <v>#REF!</v>
      </c>
      <c r="F10" s="133"/>
    </row>
    <row r="11" spans="1:6" x14ac:dyDescent="0.3">
      <c r="A11" s="37"/>
      <c r="B11" s="27"/>
      <c r="C11" s="27"/>
      <c r="D11" s="38"/>
      <c r="E11" s="27"/>
      <c r="F11" s="39"/>
    </row>
    <row r="12" spans="1:6" x14ac:dyDescent="0.3">
      <c r="A12" s="40" t="s">
        <v>54</v>
      </c>
      <c r="B12" s="175" t="s">
        <v>55</v>
      </c>
      <c r="C12" s="176"/>
      <c r="D12" s="40" t="s">
        <v>5</v>
      </c>
      <c r="E12" s="40" t="s">
        <v>56</v>
      </c>
      <c r="F12" s="40" t="s">
        <v>6</v>
      </c>
    </row>
    <row r="13" spans="1:6" x14ac:dyDescent="0.3">
      <c r="A13" s="41">
        <v>1</v>
      </c>
      <c r="B13" s="177" t="s">
        <v>15</v>
      </c>
      <c r="C13" s="178"/>
      <c r="D13" s="62">
        <v>1</v>
      </c>
      <c r="E13" s="56">
        <v>66</v>
      </c>
      <c r="F13" s="57">
        <v>66</v>
      </c>
    </row>
    <row r="14" spans="1:6" x14ac:dyDescent="0.3">
      <c r="A14" s="42"/>
      <c r="B14" s="168"/>
      <c r="C14" s="169"/>
      <c r="D14" s="63"/>
      <c r="E14" s="58"/>
      <c r="F14" s="59"/>
    </row>
    <row r="15" spans="1:6" x14ac:dyDescent="0.3">
      <c r="A15" s="42"/>
      <c r="B15" s="168"/>
      <c r="C15" s="169"/>
      <c r="D15" s="63"/>
      <c r="E15" s="58"/>
      <c r="F15" s="59"/>
    </row>
    <row r="16" spans="1:6" x14ac:dyDescent="0.3">
      <c r="A16" s="42"/>
      <c r="B16" s="168"/>
      <c r="C16" s="169"/>
      <c r="D16" s="63"/>
      <c r="E16" s="58"/>
      <c r="F16" s="59"/>
    </row>
    <row r="17" spans="1:6" x14ac:dyDescent="0.3">
      <c r="A17" s="42"/>
      <c r="B17" s="168"/>
      <c r="C17" s="169"/>
      <c r="D17" s="63"/>
      <c r="E17" s="58"/>
      <c r="F17" s="59"/>
    </row>
    <row r="18" spans="1:6" x14ac:dyDescent="0.3">
      <c r="A18" s="42"/>
      <c r="B18" s="168"/>
      <c r="C18" s="169"/>
      <c r="D18" s="63"/>
      <c r="E18" s="58"/>
      <c r="F18" s="59"/>
    </row>
    <row r="19" spans="1:6" x14ac:dyDescent="0.3">
      <c r="A19" s="42"/>
      <c r="B19" s="168"/>
      <c r="C19" s="169"/>
      <c r="D19" s="63"/>
      <c r="E19" s="58"/>
      <c r="F19" s="59"/>
    </row>
    <row r="20" spans="1:6" x14ac:dyDescent="0.3">
      <c r="A20" s="42"/>
      <c r="B20" s="168"/>
      <c r="C20" s="169"/>
      <c r="D20" s="63"/>
      <c r="E20" s="58"/>
      <c r="F20" s="59"/>
    </row>
    <row r="21" spans="1:6" x14ac:dyDescent="0.3">
      <c r="A21" s="42"/>
      <c r="B21" s="168"/>
      <c r="C21" s="169"/>
      <c r="D21" s="63"/>
      <c r="E21" s="58"/>
      <c r="F21" s="59"/>
    </row>
    <row r="22" spans="1:6" x14ac:dyDescent="0.3">
      <c r="A22" s="42"/>
      <c r="B22" s="168"/>
      <c r="C22" s="169"/>
      <c r="D22" s="63"/>
      <c r="E22" s="58"/>
      <c r="F22" s="59"/>
    </row>
    <row r="23" spans="1:6" x14ac:dyDescent="0.3">
      <c r="A23" s="43"/>
      <c r="B23" s="170"/>
      <c r="C23" s="171"/>
      <c r="D23" s="64"/>
      <c r="E23" s="60"/>
      <c r="F23" s="61"/>
    </row>
    <row r="24" spans="1:6" x14ac:dyDescent="0.3">
      <c r="A24" s="44"/>
      <c r="B24" s="33"/>
      <c r="C24" s="33"/>
      <c r="D24" s="33"/>
      <c r="E24" s="34" t="s">
        <v>30</v>
      </c>
      <c r="F24" s="45"/>
    </row>
    <row r="25" spans="1:6" x14ac:dyDescent="0.3">
      <c r="A25" s="44"/>
      <c r="B25" s="33"/>
      <c r="C25" s="33"/>
      <c r="D25" s="33"/>
      <c r="E25" s="34" t="s">
        <v>32</v>
      </c>
      <c r="F25" s="45"/>
    </row>
    <row r="26" spans="1:6" x14ac:dyDescent="0.3">
      <c r="A26" s="44"/>
      <c r="B26" s="33"/>
      <c r="C26" s="33"/>
      <c r="D26" s="33"/>
      <c r="E26" s="46" t="s">
        <v>35</v>
      </c>
      <c r="F26" s="47"/>
    </row>
    <row r="27" spans="1:6" x14ac:dyDescent="0.3">
      <c r="A27" s="44"/>
      <c r="B27" s="33"/>
      <c r="C27" s="33"/>
      <c r="D27" s="33"/>
      <c r="E27" s="34" t="s">
        <v>57</v>
      </c>
      <c r="F27" s="45"/>
    </row>
    <row r="28" spans="1:6" x14ac:dyDescent="0.3">
      <c r="A28" s="48"/>
      <c r="B28" s="49"/>
      <c r="C28" s="49"/>
      <c r="D28" s="49"/>
      <c r="E28" s="50" t="s">
        <v>41</v>
      </c>
      <c r="F28" s="51"/>
    </row>
    <row r="29" spans="1:6" x14ac:dyDescent="0.3">
      <c r="A29" s="52"/>
      <c r="B29" s="53"/>
      <c r="C29" s="53"/>
      <c r="D29" s="53"/>
      <c r="E29" s="53"/>
      <c r="F29" s="54"/>
    </row>
    <row r="30" spans="1:6" ht="15" x14ac:dyDescent="0.35">
      <c r="A30" s="172" t="s">
        <v>58</v>
      </c>
      <c r="B30" s="173"/>
      <c r="C30" s="173"/>
      <c r="D30" s="173"/>
      <c r="E30" s="173"/>
      <c r="F30" s="174"/>
    </row>
  </sheetData>
  <mergeCells count="23">
    <mergeCell ref="A1:F1"/>
    <mergeCell ref="A2:A5"/>
    <mergeCell ref="B2:F2"/>
    <mergeCell ref="B3:F3"/>
    <mergeCell ref="B4:F4"/>
    <mergeCell ref="E5:F5"/>
    <mergeCell ref="B19:C19"/>
    <mergeCell ref="E7:F7"/>
    <mergeCell ref="E8:F8"/>
    <mergeCell ref="E9:F9"/>
    <mergeCell ref="E10:F10"/>
    <mergeCell ref="B12:C12"/>
    <mergeCell ref="B13:C13"/>
    <mergeCell ref="B14:C14"/>
    <mergeCell ref="B15:C15"/>
    <mergeCell ref="B16:C16"/>
    <mergeCell ref="B17:C17"/>
    <mergeCell ref="B18:C18"/>
    <mergeCell ref="B20:C20"/>
    <mergeCell ref="B21:C21"/>
    <mergeCell ref="B22:C22"/>
    <mergeCell ref="B23:C23"/>
    <mergeCell ref="A30:F30"/>
  </mergeCells>
  <conditionalFormatting sqref="A13:F30">
    <cfRule type="expression" dxfId="0" priority="1">
      <formula>$B$6=ROW()</formula>
    </cfRule>
  </conditionalFormatting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4B3FCEA5350334AA8F2545CB7531F2B" ma:contentTypeVersion="8" ma:contentTypeDescription="Create a new document." ma:contentTypeScope="" ma:versionID="442e02cf2b68e760a58fe7026e7e01ba">
  <xsd:schema xmlns:xsd="http://www.w3.org/2001/XMLSchema" xmlns:xs="http://www.w3.org/2001/XMLSchema" xmlns:p="http://schemas.microsoft.com/office/2006/metadata/properties" xmlns:ns3="d5679803-126a-4845-a90a-4026751b27a4" xmlns:ns4="177f93fe-5f07-4cb3-80e3-233dd7677f5f" targetNamespace="http://schemas.microsoft.com/office/2006/metadata/properties" ma:root="true" ma:fieldsID="08479c4c017bd0e1f7a1b4d9896e73f8" ns3:_="" ns4:_="">
    <xsd:import namespace="d5679803-126a-4845-a90a-4026751b27a4"/>
    <xsd:import namespace="177f93fe-5f07-4cb3-80e3-233dd7677f5f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_activity" minOccurs="0"/>
                <xsd:element ref="ns4:MediaServiceMetadata" minOccurs="0"/>
                <xsd:element ref="ns4:MediaServiceFastMetadata" minOccurs="0"/>
                <xsd:element ref="ns4:MediaServiceObjectDetectorVersion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679803-126a-4845-a90a-4026751b27a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77f93fe-5f07-4cb3-80e3-233dd7677f5f" elementFormDefault="qualified">
    <xsd:import namespace="http://schemas.microsoft.com/office/2006/documentManagement/types"/>
    <xsd:import namespace="http://schemas.microsoft.com/office/infopath/2007/PartnerControls"/>
    <xsd:element name="_activity" ma:index="11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77f93fe-5f07-4cb3-80e3-233dd7677f5f" xsi:nil="true"/>
  </documentManagement>
</p:properties>
</file>

<file path=customXml/itemProps1.xml><?xml version="1.0" encoding="utf-8"?>
<ds:datastoreItem xmlns:ds="http://schemas.openxmlformats.org/officeDocument/2006/customXml" ds:itemID="{AC248508-4A12-400B-89F0-6CA4CF6333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679803-126a-4845-a90a-4026751b27a4"/>
    <ds:schemaRef ds:uri="177f93fe-5f07-4cb3-80e3-233dd7677f5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BEBBF9C-31F2-444B-A2B8-60CD1CE8085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9695884-AE62-4D55-A0E7-9753495E27D8}">
  <ds:schemaRefs>
    <ds:schemaRef ds:uri="http://schemas.microsoft.com/office/infopath/2007/PartnerControls"/>
    <ds:schemaRef ds:uri="http://purl.org/dc/dcmitype/"/>
    <ds:schemaRef ds:uri="177f93fe-5f07-4cb3-80e3-233dd7677f5f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terms/"/>
    <ds:schemaRef ds:uri="d5679803-126a-4845-a90a-4026751b27a4"/>
    <ds:schemaRef ds:uri="http://schemas.microsoft.com/office/2006/metadata/properties"/>
    <ds:schemaRef ds:uri="http://purl.org/dc/elements/1.1/"/>
  </ds:schemaRefs>
</ds:datastoreItem>
</file>

<file path=docMetadata/LabelInfo.xml><?xml version="1.0" encoding="utf-8"?>
<clbl:labelList xmlns:clbl="http://schemas.microsoft.com/office/2020/mipLabelMetadata">
  <clbl:label id="{a8eec281-aaa3-4dae-ac9b-9a398b9215e7}" enabled="0" method="" siteId="{a8eec281-aaa3-4dae-ac9b-9a398b9215e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POS</vt:lpstr>
      <vt:lpstr>Sales</vt:lpstr>
      <vt:lpstr>Stock</vt:lpstr>
      <vt:lpstr>Product Details</vt:lpstr>
      <vt:lpstr>Sheet4</vt:lpstr>
      <vt:lpstr>footer_range</vt:lpstr>
      <vt:lpstr>POS!Print_Area</vt:lpstr>
      <vt:lpstr>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Urmi</dc:creator>
  <cp:lastModifiedBy>Urmi Patel</cp:lastModifiedBy>
  <cp:lastPrinted>2025-03-08T23:10:44Z</cp:lastPrinted>
  <dcterms:created xsi:type="dcterms:W3CDTF">2015-06-05T18:17:20Z</dcterms:created>
  <dcterms:modified xsi:type="dcterms:W3CDTF">2025-03-26T16:12:42Z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0x01010064B3FCEA5350334AA8F2545CB7531F2B</vt:lpwstr>
  </property>
</Properties>
</file>